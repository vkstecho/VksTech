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Tracking" sheetId="1" state="visible" r:id="rId3"/>
    <sheet name="5-Day Shift Autopsy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<sst xmlns="http://schemas.openxmlformats.org/spreadsheetml/2006/main" count="111" uniqueCount="110">
  <si>
    <t xml:space="preserve">VKS Tech — 1,440-Minute Daily Tracking Template (with Output)</t>
  </si>
  <si>
    <t xml:space="preserve">VKS/MET/F/SHIFT-AUTOPSY | Cycle Time + Roll Output Log | vkstech.com</t>
  </si>
  <si>
    <t xml:space="preserve">Date:</t>
  </si>
  <si>
    <t xml:space="preserve">Machine:</t>
  </si>
  <si>
    <t xml:space="preserve">Day Shift:</t>
  </si>
  <si>
    <t xml:space="preserve">Night Shift:</t>
  </si>
  <si>
    <t xml:space="preserve">Operator:</t>
  </si>
  <si>
    <t xml:space="preserve">Cyc#</t>
  </si>
  <si>
    <t xml:space="preserve">Setup
Start</t>
  </si>
  <si>
    <t xml:space="preserve">Setup
End</t>
  </si>
  <si>
    <t xml:space="preserve">Vac+H
Start</t>
  </si>
  <si>
    <t xml:space="preserve">Vac+H
End</t>
  </si>
  <si>
    <t xml:space="preserve">Run
Start</t>
  </si>
  <si>
    <t xml:space="preserve">Run
End</t>
  </si>
  <si>
    <t xml:space="preserve">Vent
Start</t>
  </si>
  <si>
    <t xml:space="preserve">Vent
End</t>
  </si>
  <si>
    <t xml:space="preserve">Setup
Min</t>
  </si>
  <si>
    <t xml:space="preserve">Vac+H
Min</t>
  </si>
  <si>
    <t xml:space="preserve">Run
Min</t>
  </si>
  <si>
    <t xml:space="preserve">Vent
Min</t>
  </si>
  <si>
    <t xml:space="preserve">Total
Min</t>
  </si>
  <si>
    <t xml:space="preserve">Jumbo
Length (m)</t>
  </si>
  <si>
    <t xml:space="preserve">Status</t>
  </si>
  <si>
    <t xml:space="preserve">Length
Produced (m)</t>
  </si>
  <si>
    <t xml:space="preserve">Notes</t>
  </si>
  <si>
    <t xml:space="preserve">TOTAL</t>
  </si>
  <si>
    <t xml:space="preserve">▸ Daily Output Summary</t>
  </si>
  <si>
    <t xml:space="preserve">Metric</t>
  </si>
  <si>
    <t xml:space="preserve">Standard
(12 cyc)</t>
  </si>
  <si>
    <t xml:space="preserve">Optimised
(13 cyc)</t>
  </si>
  <si>
    <t xml:space="preserve">Best
(14 cyc)</t>
  </si>
  <si>
    <t xml:space="preserve">Actual</t>
  </si>
  <si>
    <t xml:space="preserve">Gap</t>
  </si>
  <si>
    <t xml:space="preserve">Cycles Completed (Rolls)</t>
  </si>
  <si>
    <t xml:space="preserve">Total Length Produced (m)</t>
  </si>
  <si>
    <t xml:space="preserve">Setup Time (min)</t>
  </si>
  <si>
    <t xml:space="preserve">Vacuum+Heat (min)</t>
  </si>
  <si>
    <t xml:space="preserve">Running Time (min)</t>
  </si>
  <si>
    <t xml:space="preserve">Vent Time (min)</t>
  </si>
  <si>
    <t xml:space="preserve">Running Time %</t>
  </si>
  <si>
    <t xml:space="preserve">VKS Tech — 5-Day Shift Autopsy Rollup (with Output)</t>
  </si>
  <si>
    <t xml:space="preserve">Aggregate 5 days of tracking — see your real cycles, length, and running time %</t>
  </si>
  <si>
    <t xml:space="preserve">Day</t>
  </si>
  <si>
    <t xml:space="preserve">Cycles
(Rolls)</t>
  </si>
  <si>
    <t xml:space="preserve">Setup
(min)</t>
  </si>
  <si>
    <t xml:space="preserve">Vac+H
(min)</t>
  </si>
  <si>
    <t xml:space="preserve">Run
(min)</t>
  </si>
  <si>
    <t xml:space="preserve">Vent
(min)</t>
  </si>
  <si>
    <t xml:space="preserve">Total
(min)</t>
  </si>
  <si>
    <t xml:space="preserve">Run %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</si>
  <si>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</si>
  <si>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</si>
  <si>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</si>
  <si>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</si>
  <si>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</si>
  <si>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5-DAY TOTAL</t>
  </si>
  <si>
    <t xml:space="preserve">▸ Your Performance Band</t>
  </si>
  <si>
    <t xml:space="preserve">Standard</t>
  </si>
  <si>
    <t xml:space="preserve">Optimised</t>
  </si>
  <si>
    <t xml:space="preserve">Best-in-Class</t>
  </si>
  <si>
    <t xml:space="preserve">Cycles/Day Target</t>
  </si>
  <si>
    <t xml:space="preserve">Length/Day (m) Target</t>
  </si>
  <si>
    <t xml:space="preserve">Run % Target</t>
  </si>
  <si>
    <t xml:space="preserve">YOUR Avg Cycles/Day</t>
  </si>
  <si>
    <t xml:space="preserve">YOUR Avg Length/Day</t>
  </si>
  <si>
    <t xml:space="preserve">YOUR Avg Run %</t>
  </si>
  <si>
    <t xml:space="preserve">VKS Tech — 1,440-Minute Tracking Instructions (with Output)</t>
  </si>
  <si>
    <t xml:space="preserve">KEY CONCEPT</t>
  </si>
  <si>
    <t xml:space="preserve">In a metalliser, 1 cycle = 1 jumbo (metallised roll output)</t>
  </si>
  <si>
    <t xml:space="preserve">Standard plant: 12 cycles/day = 12 rolls = ~648,000 m total length</t>
  </si>
  <si>
    <t xml:space="preserve">Optimised plant: 13 cycles/day = 13 rolls = ~702,000 m</t>
  </si>
  <si>
    <t xml:space="preserve">Best-in-class: 14 cycles/day = 14 rolls = ~756,000 m</t>
  </si>
  <si>
    <t xml:space="preserve">HOW TO USE THIS TEMPLATE</t>
  </si>
  <si>
    <t xml:space="preserve">Sheet 1: Daily Tracking</t>
  </si>
  <si>
    <t xml:space="preserve">• Enter date, machine, shift info in header strip</t>
  </si>
  <si>
    <t xml:space="preserve">• For each cycle, fill in Start/End times (4 phases: Setup, Vac+Heat, Run, Vent)</t>
  </si>
  <si>
    <t xml:space="preserve">• Enter Jumbo Length (m) for each cycle (varies by customer order: 24,000-72,000 m)</t>
  </si>
  <si>
    <t xml:space="preserve">• Select Status from dropdown: Complete / Partial / Aborted / No-Run</t>
  </si>
  <si>
    <t xml:space="preserve">• Length Produced calculates automatically based on Status:</t>
  </si>
  <si>
    <t xml:space="preserve">  - Complete: Full Jumbo Length</t>
  </si>
  <si>
    <t xml:space="preserve">  - Partial/Aborted: Run Minutes × 800 m/min (capped at Jumbo Length)</t>
  </si>
  <si>
    <t xml:space="preserve">  - No-Run: 0</t>
  </si>
  <si>
    <t xml:space="preserve">• Daily Output Summary shows your actual rolls + length vs targets</t>
  </si>
  <si>
    <t xml:space="preserve">Sheet 2: 5-Day Shift Autopsy</t>
  </si>
  <si>
    <t xml:space="preserve">• Use this for the rigorous 5-day measurement exercise</t>
  </si>
  <si>
    <t xml:space="preserve">• Enter daily totals (Cycles, Length, Setup, Vac+H, Run, Vent) from Sheet 1</t>
  </si>
  <si>
    <t xml:space="preserve">• 5-day average shows your real cycles/day, length/day, and Run %</t>
  </si>
  <si>
    <t xml:space="preserve">• Compare to Performance Band targets (Standard/Optimised/Best)</t>
  </si>
  <si>
    <t xml:space="preserve">KEY FORMULAS</t>
  </si>
  <si>
    <t xml:space="preserve">Setup Min = (Setup End - Setup Start) × 1440</t>
  </si>
  <si>
    <t xml:space="preserve">Vac+H Min = (Vac+Heat End - Vac+Heat Start) × 1440</t>
  </si>
  <si>
    <t xml:space="preserve">Run Min = (Run End - Run Start) × 1440</t>
  </si>
  <si>
    <t xml:space="preserve">Length Produced = Jumbo Length (if Complete) OR Run Min × 800 (if Partial/Aborted)</t>
  </si>
  <si>
    <t xml:space="preserve">Run % = Total Run Minutes / 1440</t>
  </si>
  <si>
    <t xml:space="preserve">PERFORMANCE BANDS (Output Targets)</t>
  </si>
  <si>
    <t xml:space="preserve">Standard Plant: 12 cycles/day = 12 rolls → 55.8% running time</t>
  </si>
  <si>
    <t xml:space="preserve">Optimised Plant: 13 cycles/day = 13 rolls → 60.5% running time</t>
  </si>
  <si>
    <t xml:space="preserve">Best-in-Class: 14 cycles/day = 14 rolls → 65.1% running time</t>
  </si>
  <si>
    <t xml:space="preserve">LENGTH PRODUCED BENCHMARKS (assuming 54,000m avg jumbo)</t>
  </si>
  <si>
    <t xml:space="preserve">Standard: 12 × 54,000 = 648,000 m/day = 19.4 million m/month</t>
  </si>
  <si>
    <t xml:space="preserve">Optimised: 13 × 54,000 = 702,000 m/day = 21.1 million m/month</t>
  </si>
  <si>
    <t xml:space="preserve">Best-in-Class: 14 × 54,000 = 756,000 m/day = 22.7 million m/month</t>
  </si>
  <si>
    <t xml:space="preserve">CELL COLOR LEGEND</t>
  </si>
  <si>
    <t xml:space="preserve">Yellow cells = INPUTS (operator fills these)</t>
  </si>
  <si>
    <t xml:space="preserve">Light Orange = Setup phase (variable lever)</t>
  </si>
  <si>
    <t xml:space="preserve">Light Green = Running phase / Output (the goal)</t>
  </si>
  <si>
    <t xml:space="preserve">Light Red = Vent phase (safety-fixed, do not optimise)</t>
  </si>
  <si>
    <t xml:space="preserve">Light Blue = Status dropdown column</t>
  </si>
  <si>
    <t xml:space="preserve">Read the full blog at: vkstech.com</t>
  </si>
  <si>
    <t xml:space="preserve">Prepared by: Vivek Kumar | VKS Tech | Updated April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</si>
</sst>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:mm"/>
    <numFmt numFmtId="166" formatCode="0"/>
    <numFmt numFmtId="167" formatCode="#,##0"/>
    <numFmt numFmtId="168" formatCode="General"/>
    <numFmt numFmtId="169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2744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E85D2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A2744"/>
      <name val="Arial"/>
      <family val="0"/>
      <charset val="1"/>
    </font>
    <font>
      <b val="true"/>
      <sz val="12"/>
      <color rgb="FFE85D2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D8C7E"/>
      <name val="Arial"/>
      <family val="0"/>
      <charset val="1"/>
    </font>
    <font>
      <i val="true"/>
      <sz val="9"/>
      <color rgb="FF0D8C7E"/>
      <name val="Arial"/>
      <family val="0"/>
      <charset val="1"/>
    </font>
    <font>
      <sz val="10"/>
      <color rgb="FF000000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A2744"/>
        <bgColor rgb="FF003366"/>
      </patternFill>
    </fill>
    <fill>
      <patternFill patternType="solid">
        <fgColor rgb="FFFFFFCC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FF3E0"/>
      </patternFill>
    </fill>
    <fill>
      <patternFill patternType="solid">
        <fgColor rgb="FFFAF9F6"/>
        <bgColor rgb="FFFFFFFF"/>
      </patternFill>
    </fill>
    <fill>
      <patternFill patternType="solid">
        <fgColor rgb="FFE3F2FD"/>
        <bgColor rgb="FFE8F5E9"/>
      </patternFill>
    </fill>
    <fill>
      <patternFill patternType="solid">
        <fgColor rgb="FF0D8C7E"/>
        <bgColor rgb="FF008080"/>
      </patternFill>
    </fill>
    <fill>
      <patternFill patternType="solid">
        <fgColor rgb="FFE85D2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08080"/>
      <rgbColor rgb="FF9999FF"/>
      <rgbColor rgb="FF993366"/>
      <rgbColor rgb="FFFFFFCC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AF9F6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5" min="4" style="0" width="11"/>
    <col collapsed="false" customWidth="true" hidden="false" outlineLevel="0" max="9" min="6" style="0" width="10"/>
    <col collapsed="false" customWidth="true" hidden="false" outlineLevel="0" max="13" min="10" style="0" width="8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28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4"/>
      <c r="D4" s="3" t="s">
        <v>3</v>
      </c>
      <c r="E4" s="4"/>
      <c r="G4" s="3" t="s">
        <v>4</v>
      </c>
      <c r="H4" s="4"/>
      <c r="J4" s="3" t="s">
        <v>5</v>
      </c>
      <c r="K4" s="4"/>
      <c r="M4" s="3" t="s">
        <v>6</v>
      </c>
      <c r="N4" s="4"/>
    </row>
    <row r="6" customFormat="false" ht="37.5" hidden="false" customHeight="true" outlineLevel="0" collapsed="false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</row>
    <row r="7" customFormat="false" ht="15" hidden="false" customHeight="false" outlineLevel="0" collapsed="false">
      <c r="A7" s="6" t="n">
        <v>1</v>
      </c>
      <c r="B7" s="7"/>
      <c r="C7" s="7"/>
      <c r="D7" s="7"/>
      <c r="E7" s="7"/>
      <c r="F7" s="7"/>
      <c r="G7" s="7"/>
      <c r="H7" s="7"/>
      <c r="I7" s="7"/>
      <c r="J7" s="8" t="str">
        <f aca="false">IF(AND(B7&lt;&gt;"",C7&lt;&gt;""),(C7-B7)*1440,"")</f>
        <v/>
      </c>
      <c r="K7" s="8" t="str">
        <f aca="false">IF(AND(D7&lt;&gt;"",E7&lt;&gt;""),(E7-D7)*1440,"")</f>
        <v/>
      </c>
      <c r="L7" s="9" t="str">
        <f aca="false">IF(AND(F7&lt;&gt;"",G7&lt;&gt;""),(G7-F7)*1440,"")</f>
        <v/>
      </c>
      <c r="M7" s="10" t="str">
        <f aca="false">IF(AND(H7&lt;&gt;"",I7&lt;&gt;""),(I7-H7)*1440,"")</f>
        <v/>
      </c>
      <c r="N7" s="11" t="str">
        <f aca="false">IF(SUM(J7:M7)&gt;0,SUM(J7:M7),"")</f>
        <v/>
      </c>
      <c r="O7" s="12"/>
      <c r="P7" s="13"/>
      <c r="Q7" s="14" t="str">
        <f aca="false">IF(P7="Complete",O7,IF(OR(P7="Partial",P7="Aborted"),MIN(L7*800,O7),IF(P7="No-Run",0,"")))</f>
        <v/>
      </c>
      <c r="R7" s="15"/>
    </row>
    <row r="8" customFormat="false" ht="15" hidden="false" customHeight="false" outlineLevel="0" collapsed="false">
      <c r="A8" s="6" t="n">
        <v>2</v>
      </c>
      <c r="B8" s="7"/>
      <c r="C8" s="7"/>
      <c r="D8" s="7"/>
      <c r="E8" s="7"/>
      <c r="F8" s="7"/>
      <c r="G8" s="7"/>
      <c r="H8" s="7"/>
      <c r="I8" s="7"/>
      <c r="J8" s="8" t="str">
        <f aca="false">IF(AND(B8&lt;&gt;"",C8&lt;&gt;""),(C8-B8)*1440,"")</f>
        <v/>
      </c>
      <c r="K8" s="8" t="str">
        <f aca="false">IF(AND(D8&lt;&gt;"",E8&lt;&gt;""),(E8-D8)*1440,"")</f>
        <v/>
      </c>
      <c r="L8" s="9" t="str">
        <f aca="false">IF(AND(F8&lt;&gt;"",G8&lt;&gt;""),(G8-F8)*1440,"")</f>
        <v/>
      </c>
      <c r="M8" s="10" t="str">
        <f aca="false">IF(AND(H8&lt;&gt;"",I8&lt;&gt;""),(I8-H8)*1440,"")</f>
        <v/>
      </c>
      <c r="N8" s="11" t="str">
        <f aca="false">IF(SUM(J8:M8)&gt;0,SUM(J8:M8),"")</f>
        <v/>
      </c>
      <c r="O8" s="12"/>
      <c r="P8" s="13"/>
      <c r="Q8" s="14" t="str">
        <f aca="false">IF(P8="Complete",O8,IF(OR(P8="Partial",P8="Aborted"),MIN(L8*800,O8),IF(P8="No-Run",0,"")))</f>
        <v/>
      </c>
      <c r="R8" s="15"/>
    </row>
    <row r="9" customFormat="false" ht="15" hidden="false" customHeight="false" outlineLevel="0" collapsed="false">
      <c r="A9" s="6" t="n">
        <v>3</v>
      </c>
      <c r="B9" s="7"/>
      <c r="C9" s="7"/>
      <c r="D9" s="7"/>
      <c r="E9" s="7"/>
      <c r="F9" s="7"/>
      <c r="G9" s="7"/>
      <c r="H9" s="7"/>
      <c r="I9" s="7"/>
      <c r="J9" s="8" t="str">
        <f aca="false">IF(AND(B9&lt;&gt;"",C9&lt;&gt;""),(C9-B9)*1440,"")</f>
        <v/>
      </c>
      <c r="K9" s="8" t="str">
        <f aca="false">IF(AND(D9&lt;&gt;"",E9&lt;&gt;""),(E9-D9)*1440,"")</f>
        <v/>
      </c>
      <c r="L9" s="9" t="str">
        <f aca="false">IF(AND(F9&lt;&gt;"",G9&lt;&gt;""),(G9-F9)*1440,"")</f>
        <v/>
      </c>
      <c r="M9" s="10" t="str">
        <f aca="false">IF(AND(H9&lt;&gt;"",I9&lt;&gt;""),(I9-H9)*1440,"")</f>
        <v/>
      </c>
      <c r="N9" s="11" t="str">
        <f aca="false">IF(SUM(J9:M9)&gt;0,SUM(J9:M9),"")</f>
        <v/>
      </c>
      <c r="O9" s="12"/>
      <c r="P9" s="13"/>
      <c r="Q9" s="14" t="str">
        <f aca="false">IF(P9="Complete",O9,IF(OR(P9="Partial",P9="Aborted"),MIN(L9*800,O9),IF(P9="No-Run",0,"")))</f>
        <v/>
      </c>
      <c r="R9" s="15"/>
    </row>
    <row r="10" customFormat="false" ht="15" hidden="false" customHeight="false" outlineLevel="0" collapsed="false">
      <c r="A10" s="6" t="n">
        <v>4</v>
      </c>
      <c r="B10" s="7"/>
      <c r="C10" s="7"/>
      <c r="D10" s="7"/>
      <c r="E10" s="7"/>
      <c r="F10" s="7"/>
      <c r="G10" s="7"/>
      <c r="H10" s="7"/>
      <c r="I10" s="7"/>
      <c r="J10" s="8" t="str">
        <f aca="false">IF(AND(B10&lt;&gt;"",C10&lt;&gt;""),(C10-B10)*1440,"")</f>
        <v/>
      </c>
      <c r="K10" s="8" t="str">
        <f aca="false">IF(AND(D10&lt;&gt;"",E10&lt;&gt;""),(E10-D10)*1440,"")</f>
        <v/>
      </c>
      <c r="L10" s="9" t="str">
        <f aca="false">IF(AND(F10&lt;&gt;"",G10&lt;&gt;""),(G10-F10)*1440,"")</f>
        <v/>
      </c>
      <c r="M10" s="10" t="str">
        <f aca="false">IF(AND(H10&lt;&gt;"",I10&lt;&gt;""),(I10-H10)*1440,"")</f>
        <v/>
      </c>
      <c r="N10" s="11" t="str">
        <f aca="false">IF(SUM(J10:M10)&gt;0,SUM(J10:M10),"")</f>
        <v/>
      </c>
      <c r="O10" s="12"/>
      <c r="P10" s="13"/>
      <c r="Q10" s="14" t="str">
        <f aca="false">IF(P10="Complete",O10,IF(OR(P10="Partial",P10="Aborted"),MIN(L10*800,O10),IF(P10="No-Run",0,"")))</f>
        <v/>
      </c>
      <c r="R10" s="15"/>
    </row>
    <row r="11" customFormat="false" ht="15" hidden="false" customHeight="false" outlineLevel="0" collapsed="false">
      <c r="A11" s="6" t="n">
        <v>5</v>
      </c>
      <c r="B11" s="7"/>
      <c r="C11" s="7"/>
      <c r="D11" s="7"/>
      <c r="E11" s="7"/>
      <c r="F11" s="7"/>
      <c r="G11" s="7"/>
      <c r="H11" s="7"/>
      <c r="I11" s="7"/>
      <c r="J11" s="8" t="str">
        <f aca="false">IF(AND(B11&lt;&gt;"",C11&lt;&gt;""),(C11-B11)*1440,"")</f>
        <v/>
      </c>
      <c r="K11" s="8" t="str">
        <f aca="false">IF(AND(D11&lt;&gt;"",E11&lt;&gt;""),(E11-D11)*1440,"")</f>
        <v/>
      </c>
      <c r="L11" s="9" t="str">
        <f aca="false">IF(AND(F11&lt;&gt;"",G11&lt;&gt;""),(G11-F11)*1440,"")</f>
        <v/>
      </c>
      <c r="M11" s="10" t="str">
        <f aca="false">IF(AND(H11&lt;&gt;"",I11&lt;&gt;""),(I11-H11)*1440,"")</f>
        <v/>
      </c>
      <c r="N11" s="11" t="str">
        <f aca="false">IF(SUM(J11:M11)&gt;0,SUM(J11:M11),"")</f>
        <v/>
      </c>
      <c r="O11" s="12"/>
      <c r="P11" s="13"/>
      <c r="Q11" s="14" t="str">
        <f aca="false">IF(P11="Complete",O11,IF(OR(P11="Partial",P11="Aborted"),MIN(L11*800,O11),IF(P11="No-Run",0,"")))</f>
        <v/>
      </c>
      <c r="R11" s="15"/>
    </row>
    <row r="12" customFormat="false" ht="15" hidden="false" customHeight="false" outlineLevel="0" collapsed="false">
      <c r="A12" s="6" t="n">
        <v>6</v>
      </c>
      <c r="B12" s="7"/>
      <c r="C12" s="7"/>
      <c r="D12" s="7"/>
      <c r="E12" s="7"/>
      <c r="F12" s="7"/>
      <c r="G12" s="7"/>
      <c r="H12" s="7"/>
      <c r="I12" s="7"/>
      <c r="J12" s="8" t="str">
        <f aca="false">IF(AND(B12&lt;&gt;"",C12&lt;&gt;""),(C12-B12)*1440,"")</f>
        <v/>
      </c>
      <c r="K12" s="8" t="str">
        <f aca="false">IF(AND(D12&lt;&gt;"",E12&lt;&gt;""),(E12-D12)*1440,"")</f>
        <v/>
      </c>
      <c r="L12" s="9" t="str">
        <f aca="false">IF(AND(F12&lt;&gt;"",G12&lt;&gt;""),(G12-F12)*1440,"")</f>
        <v/>
      </c>
      <c r="M12" s="10" t="str">
        <f aca="false">IF(AND(H12&lt;&gt;"",I12&lt;&gt;""),(I12-H12)*1440,"")</f>
        <v/>
      </c>
      <c r="N12" s="11" t="str">
        <f aca="false">IF(SUM(J12:M12)&gt;0,SUM(J12:M12),"")</f>
        <v/>
      </c>
      <c r="O12" s="12"/>
      <c r="P12" s="13"/>
      <c r="Q12" s="14" t="str">
        <f aca="false">IF(P12="Complete",O12,IF(OR(P12="Partial",P12="Aborted"),MIN(L12*800,O12),IF(P12="No-Run",0,"")))</f>
        <v/>
      </c>
      <c r="R12" s="15"/>
    </row>
    <row r="13" customFormat="false" ht="15" hidden="false" customHeight="false" outlineLevel="0" collapsed="false">
      <c r="A13" s="6" t="n">
        <v>7</v>
      </c>
      <c r="B13" s="7"/>
      <c r="C13" s="7"/>
      <c r="D13" s="7"/>
      <c r="E13" s="7"/>
      <c r="F13" s="7"/>
      <c r="G13" s="7"/>
      <c r="H13" s="7"/>
      <c r="I13" s="7"/>
      <c r="J13" s="8" t="str">
        <f aca="false">IF(AND(B13&lt;&gt;"",C13&lt;&gt;""),(C13-B13)*1440,"")</f>
        <v/>
      </c>
      <c r="K13" s="8" t="str">
        <f aca="false">IF(AND(D13&lt;&gt;"",E13&lt;&gt;""),(E13-D13)*1440,"")</f>
        <v/>
      </c>
      <c r="L13" s="9" t="str">
        <f aca="false">IF(AND(F13&lt;&gt;"",G13&lt;&gt;""),(G13-F13)*1440,"")</f>
        <v/>
      </c>
      <c r="M13" s="10" t="str">
        <f aca="false">IF(AND(H13&lt;&gt;"",I13&lt;&gt;""),(I13-H13)*1440,"")</f>
        <v/>
      </c>
      <c r="N13" s="11" t="str">
        <f aca="false">IF(SUM(J13:M13)&gt;0,SUM(J13:M13),"")</f>
        <v/>
      </c>
      <c r="O13" s="12"/>
      <c r="P13" s="13"/>
      <c r="Q13" s="14" t="str">
        <f aca="false">IF(P13="Complete",O13,IF(OR(P13="Partial",P13="Aborted"),MIN(L13*800,O13),IF(P13="No-Run",0,"")))</f>
        <v/>
      </c>
      <c r="R13" s="15"/>
    </row>
    <row r="14" customFormat="false" ht="15" hidden="false" customHeight="false" outlineLevel="0" collapsed="false">
      <c r="A14" s="6" t="n">
        <v>8</v>
      </c>
      <c r="B14" s="7"/>
      <c r="C14" s="7"/>
      <c r="D14" s="7"/>
      <c r="E14" s="7"/>
      <c r="F14" s="7"/>
      <c r="G14" s="7"/>
      <c r="H14" s="7"/>
      <c r="I14" s="7"/>
      <c r="J14" s="8" t="str">
        <f aca="false">IF(AND(B14&lt;&gt;"",C14&lt;&gt;""),(C14-B14)*1440,"")</f>
        <v/>
      </c>
      <c r="K14" s="8" t="str">
        <f aca="false">IF(AND(D14&lt;&gt;"",E14&lt;&gt;""),(E14-D14)*1440,"")</f>
        <v/>
      </c>
      <c r="L14" s="9" t="str">
        <f aca="false">IF(AND(F14&lt;&gt;"",G14&lt;&gt;""),(G14-F14)*1440,"")</f>
        <v/>
      </c>
      <c r="M14" s="10" t="str">
        <f aca="false">IF(AND(H14&lt;&gt;"",I14&lt;&gt;""),(I14-H14)*1440,"")</f>
        <v/>
      </c>
      <c r="N14" s="11" t="str">
        <f aca="false">IF(SUM(J14:M14)&gt;0,SUM(J14:M14),"")</f>
        <v/>
      </c>
      <c r="O14" s="12"/>
      <c r="P14" s="13"/>
      <c r="Q14" s="14" t="str">
        <f aca="false">IF(P14="Complete",O14,IF(OR(P14="Partial",P14="Aborted"),MIN(L14*800,O14),IF(P14="No-Run",0,"")))</f>
        <v/>
      </c>
      <c r="R14" s="15"/>
    </row>
    <row r="15" customFormat="false" ht="15" hidden="false" customHeight="false" outlineLevel="0" collapsed="false">
      <c r="A15" s="6" t="n">
        <v>9</v>
      </c>
      <c r="B15" s="7"/>
      <c r="C15" s="7"/>
      <c r="D15" s="7"/>
      <c r="E15" s="7"/>
      <c r="F15" s="7"/>
      <c r="G15" s="7"/>
      <c r="H15" s="7"/>
      <c r="I15" s="7"/>
      <c r="J15" s="8" t="str">
        <f aca="false">IF(AND(B15&lt;&gt;"",C15&lt;&gt;""),(C15-B15)*1440,"")</f>
        <v/>
      </c>
      <c r="K15" s="8" t="str">
        <f aca="false">IF(AND(D15&lt;&gt;"",E15&lt;&gt;""),(E15-D15)*1440,"")</f>
        <v/>
      </c>
      <c r="L15" s="9" t="str">
        <f aca="false">IF(AND(F15&lt;&gt;"",G15&lt;&gt;""),(G15-F15)*1440,"")</f>
        <v/>
      </c>
      <c r="M15" s="10" t="str">
        <f aca="false">IF(AND(H15&lt;&gt;"",I15&lt;&gt;""),(I15-H15)*1440,"")</f>
        <v/>
      </c>
      <c r="N15" s="11" t="str">
        <f aca="false">IF(SUM(J15:M15)&gt;0,SUM(J15:M15),"")</f>
        <v/>
      </c>
      <c r="O15" s="12"/>
      <c r="P15" s="13"/>
      <c r="Q15" s="14" t="str">
        <f aca="false">IF(P15="Complete",O15,IF(OR(P15="Partial",P15="Aborted"),MIN(L15*800,O15),IF(P15="No-Run",0,"")))</f>
        <v/>
      </c>
      <c r="R15" s="15"/>
    </row>
    <row r="16" customFormat="false" ht="15" hidden="false" customHeight="false" outlineLevel="0" collapsed="false">
      <c r="A16" s="6" t="n">
        <v>10</v>
      </c>
      <c r="B16" s="7"/>
      <c r="C16" s="7"/>
      <c r="D16" s="7"/>
      <c r="E16" s="7"/>
      <c r="F16" s="7"/>
      <c r="G16" s="7"/>
      <c r="H16" s="7"/>
      <c r="I16" s="7"/>
      <c r="J16" s="8" t="str">
        <f aca="false">IF(AND(B16&lt;&gt;"",C16&lt;&gt;""),(C16-B16)*1440,"")</f>
        <v/>
      </c>
      <c r="K16" s="8" t="str">
        <f aca="false">IF(AND(D16&lt;&gt;"",E16&lt;&gt;""),(E16-D16)*1440,"")</f>
        <v/>
      </c>
      <c r="L16" s="9" t="str">
        <f aca="false">IF(AND(F16&lt;&gt;"",G16&lt;&gt;""),(G16-F16)*1440,"")</f>
        <v/>
      </c>
      <c r="M16" s="10" t="str">
        <f aca="false">IF(AND(H16&lt;&gt;"",I16&lt;&gt;""),(I16-H16)*1440,"")</f>
        <v/>
      </c>
      <c r="N16" s="11" t="str">
        <f aca="false">IF(SUM(J16:M16)&gt;0,SUM(J16:M16),"")</f>
        <v/>
      </c>
      <c r="O16" s="12"/>
      <c r="P16" s="13"/>
      <c r="Q16" s="14" t="str">
        <f aca="false">IF(P16="Complete",O16,IF(OR(P16="Partial",P16="Aborted"),MIN(L16*800,O16),IF(P16="No-Run",0,"")))</f>
        <v/>
      </c>
      <c r="R16" s="15"/>
    </row>
    <row r="17" customFormat="false" ht="15" hidden="false" customHeight="false" outlineLevel="0" collapsed="false">
      <c r="A17" s="6" t="n">
        <v>11</v>
      </c>
      <c r="B17" s="7"/>
      <c r="C17" s="7"/>
      <c r="D17" s="7"/>
      <c r="E17" s="7"/>
      <c r="F17" s="7"/>
      <c r="G17" s="7"/>
      <c r="H17" s="7"/>
      <c r="I17" s="7"/>
      <c r="J17" s="8" t="str">
        <f aca="false">IF(AND(B17&lt;&gt;"",C17&lt;&gt;""),(C17-B17)*1440,"")</f>
        <v/>
      </c>
      <c r="K17" s="8" t="str">
        <f aca="false">IF(AND(D17&lt;&gt;"",E17&lt;&gt;""),(E17-D17)*1440,"")</f>
        <v/>
      </c>
      <c r="L17" s="9" t="str">
        <f aca="false">IF(AND(F17&lt;&gt;"",G17&lt;&gt;""),(G17-F17)*1440,"")</f>
        <v/>
      </c>
      <c r="M17" s="10" t="str">
        <f aca="false">IF(AND(H17&lt;&gt;"",I17&lt;&gt;""),(I17-H17)*1440,"")</f>
        <v/>
      </c>
      <c r="N17" s="11" t="str">
        <f aca="false">IF(SUM(J17:M17)&gt;0,SUM(J17:M17),"")</f>
        <v/>
      </c>
      <c r="O17" s="12"/>
      <c r="P17" s="13"/>
      <c r="Q17" s="14" t="str">
        <f aca="false">IF(P17="Complete",O17,IF(OR(P17="Partial",P17="Aborted"),MIN(L17*800,O17),IF(P17="No-Run",0,"")))</f>
        <v/>
      </c>
      <c r="R17" s="15"/>
    </row>
    <row r="18" customFormat="false" ht="15" hidden="false" customHeight="false" outlineLevel="0" collapsed="false">
      <c r="A18" s="6" t="n">
        <v>12</v>
      </c>
      <c r="B18" s="7"/>
      <c r="C18" s="7"/>
      <c r="D18" s="7"/>
      <c r="E18" s="7"/>
      <c r="F18" s="7"/>
      <c r="G18" s="7"/>
      <c r="H18" s="7"/>
      <c r="I18" s="7"/>
      <c r="J18" s="8" t="str">
        <f aca="false">IF(AND(B18&lt;&gt;"",C18&lt;&gt;""),(C18-B18)*1440,"")</f>
        <v/>
      </c>
      <c r="K18" s="8" t="str">
        <f aca="false">IF(AND(D18&lt;&gt;"",E18&lt;&gt;""),(E18-D18)*1440,"")</f>
        <v/>
      </c>
      <c r="L18" s="9" t="str">
        <f aca="false">IF(AND(F18&lt;&gt;"",G18&lt;&gt;""),(G18-F18)*1440,"")</f>
        <v/>
      </c>
      <c r="M18" s="10" t="str">
        <f aca="false">IF(AND(H18&lt;&gt;"",I18&lt;&gt;""),(I18-H18)*1440,"")</f>
        <v/>
      </c>
      <c r="N18" s="11" t="str">
        <f aca="false">IF(SUM(J18:M18)&gt;0,SUM(J18:M18),"")</f>
        <v/>
      </c>
      <c r="O18" s="12"/>
      <c r="P18" s="13"/>
      <c r="Q18" s="14" t="str">
        <f aca="false">IF(P18="Complete",O18,IF(OR(P18="Partial",P18="Aborted"),MIN(L18*800,O18),IF(P18="No-Run",0,"")))</f>
        <v/>
      </c>
      <c r="R18" s="15"/>
    </row>
    <row r="19" customFormat="false" ht="15" hidden="false" customHeight="false" outlineLevel="0" collapsed="false">
      <c r="A19" s="6" t="n">
        <v>13</v>
      </c>
      <c r="B19" s="7"/>
      <c r="C19" s="7"/>
      <c r="D19" s="7"/>
      <c r="E19" s="7"/>
      <c r="F19" s="7"/>
      <c r="G19" s="7"/>
      <c r="H19" s="7"/>
      <c r="I19" s="7"/>
      <c r="J19" s="8" t="str">
        <f aca="false">IF(AND(B19&lt;&gt;"",C19&lt;&gt;""),(C19-B19)*1440,"")</f>
        <v/>
      </c>
      <c r="K19" s="8" t="str">
        <f aca="false">IF(AND(D19&lt;&gt;"",E19&lt;&gt;""),(E19-D19)*1440,"")</f>
        <v/>
      </c>
      <c r="L19" s="9" t="str">
        <f aca="false">IF(AND(F19&lt;&gt;"",G19&lt;&gt;""),(G19-F19)*1440,"")</f>
        <v/>
      </c>
      <c r="M19" s="10" t="str">
        <f aca="false">IF(AND(H19&lt;&gt;"",I19&lt;&gt;""),(I19-H19)*1440,"")</f>
        <v/>
      </c>
      <c r="N19" s="11" t="str">
        <f aca="false">IF(SUM(J19:M19)&gt;0,SUM(J19:M19),"")</f>
        <v/>
      </c>
      <c r="O19" s="12"/>
      <c r="P19" s="13"/>
      <c r="Q19" s="14" t="str">
        <f aca="false">IF(P19="Complete",O19,IF(OR(P19="Partial",P19="Aborted"),MIN(L19*800,O19),IF(P19="No-Run",0,"")))</f>
        <v/>
      </c>
      <c r="R19" s="15"/>
    </row>
    <row r="20" customFormat="false" ht="15" hidden="false" customHeight="false" outlineLevel="0" collapsed="false">
      <c r="A20" s="6" t="n">
        <v>14</v>
      </c>
      <c r="B20" s="7"/>
      <c r="C20" s="7"/>
      <c r="D20" s="7"/>
      <c r="E20" s="7"/>
      <c r="F20" s="7"/>
      <c r="G20" s="7"/>
      <c r="H20" s="7"/>
      <c r="I20" s="7"/>
      <c r="J20" s="8" t="str">
        <f aca="false">IF(AND(B20&lt;&gt;"",C20&lt;&gt;""),(C20-B20)*1440,"")</f>
        <v/>
      </c>
      <c r="K20" s="8" t="str">
        <f aca="false">IF(AND(D20&lt;&gt;"",E20&lt;&gt;""),(E20-D20)*1440,"")</f>
        <v/>
      </c>
      <c r="L20" s="9" t="str">
        <f aca="false">IF(AND(F20&lt;&gt;"",G20&lt;&gt;""),(G20-F20)*1440,"")</f>
        <v/>
      </c>
      <c r="M20" s="10" t="str">
        <f aca="false">IF(AND(H20&lt;&gt;"",I20&lt;&gt;""),(I20-H20)*1440,"")</f>
        <v/>
      </c>
      <c r="N20" s="11" t="str">
        <f aca="false">IF(SUM(J20:M20)&gt;0,SUM(J20:M20),"")</f>
        <v/>
      </c>
      <c r="O20" s="12"/>
      <c r="P20" s="13"/>
      <c r="Q20" s="14" t="str">
        <f aca="false">IF(P20="Complete",O20,IF(OR(P20="Partial",P20="Aborted"),MIN(L20*800,O20),IF(P20="No-Run",0,"")))</f>
        <v/>
      </c>
      <c r="R20" s="15"/>
    </row>
    <row r="21" customFormat="false" ht="15" hidden="false" customHeight="false" outlineLevel="0" collapsed="false">
      <c r="A21" s="16" t="s">
        <v>25</v>
      </c>
      <c r="B21" s="17"/>
      <c r="C21" s="17"/>
      <c r="D21" s="17"/>
      <c r="E21" s="17"/>
      <c r="F21" s="17"/>
      <c r="G21" s="17"/>
      <c r="H21" s="17"/>
      <c r="I21" s="17"/>
      <c r="J21" s="18" t="n">
        <f aca="false">SUM(J7:J20)</f>
        <v>0</v>
      </c>
      <c r="K21" s="18" t="n">
        <f aca="false">SUM(K7:K20)</f>
        <v>0</v>
      </c>
      <c r="L21" s="18" t="n">
        <f aca="false">SUM(L7:L20)</f>
        <v>0</v>
      </c>
      <c r="M21" s="18" t="n">
        <f aca="false">SUM(M7:M20)</f>
        <v>0</v>
      </c>
      <c r="N21" s="18" t="n">
        <f aca="false">SUM(N7:N20)</f>
        <v>0</v>
      </c>
      <c r="O21" s="19" t="n">
        <f aca="false">SUM(O7:O20)</f>
        <v>0</v>
      </c>
      <c r="P21" s="18" t="n">
        <f aca="false">COUNTIF(P7:P20,"Complete")</f>
        <v>0</v>
      </c>
      <c r="Q21" s="19" t="n">
        <f aca="false">SUM(Q7:Q20)</f>
        <v>0</v>
      </c>
    </row>
    <row r="23" customFormat="false" ht="15" hidden="false" customHeight="false" outlineLevel="0" collapsed="false">
      <c r="A23" s="20" t="s">
        <v>26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customFormat="false" ht="30" hidden="false" customHeight="true" outlineLevel="0" collapsed="false">
      <c r="A24" s="21" t="s">
        <v>27</v>
      </c>
      <c r="B24" s="21" t="s">
        <v>28</v>
      </c>
      <c r="C24" s="21" t="s">
        <v>29</v>
      </c>
      <c r="D24" s="21" t="s">
        <v>30</v>
      </c>
      <c r="E24" s="21" t="s">
        <v>31</v>
      </c>
      <c r="F24" s="21" t="s">
        <v>32</v>
      </c>
    </row>
    <row r="25" customFormat="false" ht="15" hidden="false" customHeight="false" outlineLevel="0" collapsed="false">
      <c r="A25" s="22" t="s">
        <v>33</v>
      </c>
      <c r="B25" s="14" t="n">
        <v>12</v>
      </c>
      <c r="C25" s="14" t="n">
        <v>13</v>
      </c>
      <c r="D25" s="14" t="n">
        <v>14</v>
      </c>
      <c r="E25" s="14" t="n">
        <f aca="false">P21</f>
        <v>0</v>
      </c>
      <c r="F25" s="14" t="n">
        <f aca="false">E25-B25</f>
        <v>-12</v>
      </c>
    </row>
    <row r="26" customFormat="false" ht="15" hidden="false" customHeight="false" outlineLevel="0" collapsed="false">
      <c r="A26" s="22" t="s">
        <v>34</v>
      </c>
      <c r="B26" s="14" t="n">
        <v>648000</v>
      </c>
      <c r="C26" s="14" t="n">
        <v>702000</v>
      </c>
      <c r="D26" s="14" t="n">
        <v>756000</v>
      </c>
      <c r="E26" s="14" t="n">
        <f aca="false">Q21</f>
        <v>0</v>
      </c>
      <c r="F26" s="14" t="n">
        <f aca="false">E26-B26</f>
        <v>-648000</v>
      </c>
    </row>
    <row r="27" customFormat="false" ht="15" hidden="false" customHeight="false" outlineLevel="0" collapsed="false">
      <c r="A27" s="23" t="s">
        <v>35</v>
      </c>
      <c r="B27" s="24" t="n">
        <v>240</v>
      </c>
      <c r="C27" s="24" t="n">
        <v>221</v>
      </c>
      <c r="D27" s="24" t="n">
        <v>168</v>
      </c>
      <c r="E27" s="14" t="n">
        <f aca="false">J21</f>
        <v>0</v>
      </c>
      <c r="F27" s="24" t="n">
        <f aca="false">E27-B27</f>
        <v>-240</v>
      </c>
    </row>
    <row r="28" customFormat="false" ht="15" hidden="false" customHeight="false" outlineLevel="0" collapsed="false">
      <c r="A28" s="23" t="s">
        <v>36</v>
      </c>
      <c r="B28" s="24" t="n">
        <v>240</v>
      </c>
      <c r="C28" s="24" t="n">
        <v>221</v>
      </c>
      <c r="D28" s="24" t="n">
        <v>196</v>
      </c>
      <c r="E28" s="14" t="n">
        <f aca="false">K21</f>
        <v>0</v>
      </c>
      <c r="F28" s="24" t="n">
        <f aca="false">E28-B28</f>
        <v>-240</v>
      </c>
    </row>
    <row r="29" customFormat="false" ht="15" hidden="false" customHeight="false" outlineLevel="0" collapsed="false">
      <c r="A29" s="23" t="s">
        <v>37</v>
      </c>
      <c r="B29" s="24" t="n">
        <v>804</v>
      </c>
      <c r="C29" s="24" t="n">
        <v>871</v>
      </c>
      <c r="D29" s="24" t="n">
        <v>938</v>
      </c>
      <c r="E29" s="14" t="n">
        <f aca="false">L21</f>
        <v>0</v>
      </c>
      <c r="F29" s="24" t="n">
        <f aca="false">E29-B29</f>
        <v>-804</v>
      </c>
    </row>
    <row r="30" customFormat="false" ht="15" hidden="false" customHeight="false" outlineLevel="0" collapsed="false">
      <c r="A30" s="23" t="s">
        <v>38</v>
      </c>
      <c r="B30" s="24" t="n">
        <v>120</v>
      </c>
      <c r="C30" s="24" t="n">
        <v>130</v>
      </c>
      <c r="D30" s="24" t="n">
        <v>140</v>
      </c>
      <c r="E30" s="14" t="n">
        <f aca="false">M21</f>
        <v>0</v>
      </c>
      <c r="F30" s="24" t="n">
        <f aca="false">E30-B30</f>
        <v>-120</v>
      </c>
    </row>
    <row r="31" customFormat="false" ht="15" hidden="false" customHeight="false" outlineLevel="0" collapsed="false">
      <c r="A31" s="22" t="s">
        <v>39</v>
      </c>
      <c r="B31" s="25" t="n">
        <v>0.558</v>
      </c>
      <c r="C31" s="25" t="n">
        <v>0.605</v>
      </c>
      <c r="D31" s="25" t="n">
        <v>0.651</v>
      </c>
      <c r="E31" s="25" t="n">
        <f aca="false">L21/1440</f>
        <v>0</v>
      </c>
      <c r="F31" s="25" t="n">
        <f aca="false">E31-B31</f>
        <v>-0.558</v>
      </c>
    </row>
  </sheetData>
  <mergeCells count="3">
    <mergeCell ref="A1:R1"/>
    <mergeCell ref="A2:R2"/>
    <mergeCell ref="A23:R23"/>
  </mergeCells>
  <dataValidations count="1">
    <dataValidation allowBlank="true" error="Choose: Complete / Partial / Aborted / No-Run" errorStyle="stop" errorTitle="Invalid Status" operator="between" prompt="Select cycle status" promptTitle="Cycle Status" showDropDown="false" showErrorMessage="false" showInputMessage="false" sqref="P7:P20" type="list">
      <formula1>"Complete,Partial,Aborted,No-Run"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9" min="4" style="0" width="10"/>
  </cols>
  <sheetData>
    <row r="1" customFormat="false" ht="18.55" hidden="false" customHeight="false" outlineLevel="0" collapsed="false">
      <c r="A1" s="26" t="s">
        <v>40</v>
      </c>
      <c r="B1" s="26"/>
      <c r="C1" s="26"/>
      <c r="D1" s="26"/>
      <c r="E1" s="26"/>
      <c r="F1" s="26"/>
      <c r="G1" s="26"/>
      <c r="H1" s="26"/>
      <c r="I1" s="26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</row>
    <row r="4" customFormat="false" ht="34.5" hidden="false" customHeight="true" outlineLevel="0" collapsed="false">
      <c r="A4" s="27" t="s">
        <v>42</v>
      </c>
      <c r="B4" s="27" t="s">
        <v>43</v>
      </c>
      <c r="C4" s="27" t="s">
        <v>23</v>
      </c>
      <c r="D4" s="27" t="s">
        <v>44</v>
      </c>
      <c r="E4" s="27" t="s">
        <v>45</v>
      </c>
      <c r="F4" s="27" t="s">
        <v>46</v>
      </c>
      <c r="G4" s="27" t="s">
        <v>47</v>
      </c>
      <c r="H4" s="27" t="s">
        <v>48</v>
      </c>
      <c r="I4" s="27" t="s">
        <v>49</v>
      </c>
    </row>
    <row r="5" customFormat="false" ht="15" hidden="false" customHeight="false" outlineLevel="0" collapsed="false">
      <c r="A5" s="3" t="s">
        <v>50</v>
      </c>
      <c r="B5" s="12"/>
      <c r="C5" s="12"/>
      <c r="D5" s="12"/>
      <c r="E5" s="12"/>
      <c r="F5" s="12"/>
      <c r="G5" s="12"/>
      <c r="H5" s="19" t="n">
        <f aca="false">SUM(D5:G5)</f>
        <v>0</v>
      </c>
      <c r="I5" s="25" t="str">
        <f aca="false">IF(F5&gt;0,F5/1440,"")</f>
        <v/>
      </c>
    </row>
    <row r="6" customFormat="false" ht="15" hidden="false" customHeight="false" outlineLevel="0" collapsed="false">
      <c r="A6" s="3" t="s">
        <v>51</v>
      </c>
      <c r="B6" s="12"/>
      <c r="C6" s="12"/>
      <c r="D6" s="12"/>
      <c r="E6" s="12"/>
      <c r="F6" s="12"/>
      <c r="G6" s="12"/>
      <c r="H6" s="19" t="n">
        <f aca="false">SUM(D6:G6)</f>
        <v>0</v>
      </c>
      <c r="I6" s="25" t="str">
        <f aca="false">IF(F6&gt;0,F6/1440,"")</f>
        <v/>
      </c>
    </row>
    <row r="7" customFormat="false" ht="15" hidden="false" customHeight="false" outlineLevel="0" collapsed="false">
      <c r="A7" s="3" t="s">
        <v>52</v>
      </c>
      <c r="B7" s="12"/>
      <c r="C7" s="12"/>
      <c r="D7" s="12"/>
      <c r="E7" s="12"/>
      <c r="F7" s="12"/>
      <c r="G7" s="12"/>
      <c r="H7" s="19" t="n">
        <f aca="false">SUM(D7:G7)</f>
        <v>0</v>
      </c>
      <c r="I7" s="25" t="str">
        <f aca="false">IF(F7&gt;0,F7/1440,"")</f>
        <v/>
      </c>
    </row>
    <row r="8" customFormat="false" ht="15" hidden="false" customHeight="false" outlineLevel="0" collapsed="false">
      <c r="A8" s="3" t="s">
        <v>53</v>
      </c>
      <c r="B8" s="12"/>
      <c r="C8" s="12"/>
      <c r="D8" s="12"/>
      <c r="E8" s="12"/>
      <c r="F8" s="12"/>
      <c r="G8" s="12"/>
      <c r="H8" s="19" t="n">
        <f aca="false">SUM(D8:G8)</f>
        <v>0</v>
      </c>
      <c r="I8" s="25" t="str">
        <f aca="false">IF(F8&gt;0,F8/1440,"")</f>
        <v/>
      </c>
    </row>
    <row r="9" customFormat="false" ht="15" hidden="false" customHeight="false" outlineLevel="0" collapsed="false">
      <c r="A9" s="3" t="s">
        <v>54</v>
      </c>
      <c r="B9" s="12"/>
      <c r="C9" s="12"/>
      <c r="D9" s="12"/>
      <c r="E9" s="12"/>
      <c r="F9" s="12"/>
      <c r="G9" s="12"/>
      <c r="H9" s="19" t="n">
        <f aca="false">SUM(D9:G9)</f>
        <v>0</v>
      </c>
      <c r="I9" s="25" t="str">
        <f aca="false">IF(F9&gt;0,F9/1440,"")</f>
        <v/>
      </c>
    </row>
    <row r="10" customFormat="false" ht="15" hidden="false" customHeight="false" outlineLevel="0" collapsed="false">
      <c r="A10" s="28" t="s">
        <v>55</v>
      </c>
      <c r="B10" s="29" t="n">
        <f aca="false">SUM(B5:B9)</f>
        <v>0</v>
      </c>
      <c r="C10" s="29" t="n">
        <f aca="false">SUM(C5:C9)</f>
        <v>0</v>
      </c>
      <c r="D10" s="29" t="n">
        <f aca="false">SUM(D5:D9)</f>
        <v>0</v>
      </c>
      <c r="E10" s="29" t="n">
        <f aca="false">SUM(E5:E9)</f>
        <v>0</v>
      </c>
      <c r="F10" s="29" t="n">
        <f aca="false">SUM(F5:F9)</f>
        <v>0</v>
      </c>
      <c r="G10" s="29" t="n">
        <f aca="false">SUM(G5:G9)</f>
        <v>0</v>
      </c>
      <c r="H10" s="29" t="n">
        <f aca="false">SUM(H5:H9)</f>
        <v>0</v>
      </c>
      <c r="I10" s="30" t="str">
        <f aca="false">IF(H10&gt;0,F10/H10,"")</f>
        <v/>
      </c>
    </row>
    <row r="12" customFormat="false" ht="15" hidden="false" customHeight="false" outlineLevel="0" collapsed="false">
      <c r="A12" s="20" t="s">
        <v>56</v>
      </c>
      <c r="B12" s="20"/>
      <c r="C12" s="20"/>
      <c r="D12" s="20"/>
      <c r="E12" s="20"/>
      <c r="F12" s="20"/>
      <c r="G12" s="20"/>
      <c r="H12" s="20"/>
      <c r="I12" s="20"/>
    </row>
    <row r="13" customFormat="false" ht="15" hidden="false" customHeight="false" outlineLevel="0" collapsed="false">
      <c r="A13" s="23"/>
      <c r="B13" s="31" t="s">
        <v>57</v>
      </c>
      <c r="C13" s="31" t="s">
        <v>58</v>
      </c>
      <c r="D13" s="31" t="s">
        <v>59</v>
      </c>
      <c r="E13" s="32"/>
      <c r="F13" s="32"/>
      <c r="G13" s="32"/>
      <c r="H13" s="32"/>
      <c r="I13" s="32"/>
    </row>
    <row r="14" customFormat="false" ht="15" hidden="false" customHeight="false" outlineLevel="0" collapsed="false">
      <c r="A14" s="33" t="s">
        <v>60</v>
      </c>
      <c r="B14" s="24" t="n">
        <v>12</v>
      </c>
      <c r="C14" s="24" t="n">
        <v>13</v>
      </c>
      <c r="D14" s="24" t="n">
        <v>14</v>
      </c>
      <c r="E14" s="34"/>
      <c r="F14" s="34"/>
      <c r="G14" s="34"/>
      <c r="H14" s="34"/>
      <c r="I14" s="34"/>
    </row>
    <row r="15" customFormat="false" ht="15" hidden="false" customHeight="false" outlineLevel="0" collapsed="false">
      <c r="A15" s="33" t="s">
        <v>61</v>
      </c>
      <c r="B15" s="24" t="n">
        <v>648000</v>
      </c>
      <c r="C15" s="24" t="n">
        <v>702000</v>
      </c>
      <c r="D15" s="24" t="n">
        <v>756000</v>
      </c>
      <c r="E15" s="34"/>
      <c r="F15" s="34"/>
      <c r="G15" s="34"/>
      <c r="H15" s="34"/>
      <c r="I15" s="34"/>
    </row>
    <row r="16" customFormat="false" ht="15" hidden="false" customHeight="false" outlineLevel="0" collapsed="false">
      <c r="A16" s="35" t="s">
        <v>62</v>
      </c>
      <c r="B16" s="36" t="n">
        <v>0.558</v>
      </c>
      <c r="C16" s="36" t="n">
        <v>0.605</v>
      </c>
      <c r="D16" s="36" t="n">
        <v>0.651</v>
      </c>
      <c r="E16" s="37"/>
      <c r="F16" s="37"/>
      <c r="G16" s="37"/>
      <c r="H16" s="37"/>
      <c r="I16" s="37"/>
    </row>
    <row r="17" customFormat="false" ht="15" hidden="false" customHeight="false" outlineLevel="0" collapsed="false">
      <c r="A17" s="23"/>
      <c r="B17" s="38"/>
      <c r="C17" s="38"/>
      <c r="D17" s="38"/>
      <c r="E17" s="39"/>
      <c r="F17" s="39"/>
      <c r="G17" s="39"/>
      <c r="H17" s="39"/>
      <c r="I17" s="39"/>
    </row>
    <row r="18" customFormat="false" ht="15" hidden="false" customHeight="false" outlineLevel="0" collapsed="false">
      <c r="A18" s="40" t="s">
        <v>63</v>
      </c>
      <c r="B18" s="14" t="n">
        <f aca="false">B10/5</f>
        <v>0</v>
      </c>
      <c r="C18" s="24"/>
      <c r="D18" s="24"/>
      <c r="E18" s="34"/>
      <c r="F18" s="34"/>
      <c r="G18" s="34"/>
      <c r="H18" s="34"/>
      <c r="I18" s="34"/>
    </row>
    <row r="19" customFormat="false" ht="15" hidden="false" customHeight="false" outlineLevel="0" collapsed="false">
      <c r="A19" s="40" t="s">
        <v>64</v>
      </c>
      <c r="B19" s="14" t="n">
        <f aca="false">C10/5</f>
        <v>0</v>
      </c>
      <c r="C19" s="24"/>
      <c r="D19" s="24"/>
      <c r="E19" s="34"/>
      <c r="F19" s="34"/>
      <c r="G19" s="34"/>
      <c r="H19" s="34"/>
      <c r="I19" s="34"/>
    </row>
    <row r="20" customFormat="false" ht="15" hidden="false" customHeight="false" outlineLevel="0" collapsed="false">
      <c r="A20" s="41" t="s">
        <v>65</v>
      </c>
      <c r="B20" s="25" t="str">
        <f aca="false">I10</f>
        <v/>
      </c>
      <c r="C20" s="36"/>
      <c r="D20" s="36"/>
      <c r="E20" s="37"/>
      <c r="F20" s="37"/>
      <c r="G20" s="37"/>
      <c r="H20" s="37"/>
      <c r="I20" s="37"/>
    </row>
  </sheetData>
  <mergeCells count="3">
    <mergeCell ref="A1:I1"/>
    <mergeCell ref="A2:I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42" t="s">
        <v>66</v>
      </c>
    </row>
    <row r="3" customFormat="false" ht="15" hidden="false" customHeight="false" outlineLevel="0" collapsed="false">
      <c r="A3" s="43" t="s">
        <v>67</v>
      </c>
    </row>
    <row r="5" customFormat="false" ht="15" hidden="false" customHeight="false" outlineLevel="0" collapsed="false">
      <c r="A5" s="44" t="s">
        <v>68</v>
      </c>
    </row>
    <row r="6" customFormat="false" ht="15" hidden="false" customHeight="false" outlineLevel="0" collapsed="false">
      <c r="A6" s="45" t="s">
        <v>69</v>
      </c>
    </row>
    <row r="7" customFormat="false" ht="15" hidden="false" customHeight="false" outlineLevel="0" collapsed="false">
      <c r="A7" s="45" t="s">
        <v>70</v>
      </c>
    </row>
    <row r="8" customFormat="false" ht="15" hidden="false" customHeight="false" outlineLevel="0" collapsed="false">
      <c r="A8" s="45" t="s">
        <v>71</v>
      </c>
    </row>
    <row r="10" customFormat="false" ht="15" hidden="false" customHeight="false" outlineLevel="0" collapsed="false">
      <c r="A10" s="43" t="s">
        <v>72</v>
      </c>
    </row>
    <row r="12" customFormat="false" ht="15" hidden="false" customHeight="false" outlineLevel="0" collapsed="false">
      <c r="A12" s="46" t="s">
        <v>73</v>
      </c>
    </row>
    <row r="13" customFormat="false" ht="15" hidden="false" customHeight="false" outlineLevel="0" collapsed="false">
      <c r="A13" s="45" t="s">
        <v>74</v>
      </c>
    </row>
    <row r="14" customFormat="false" ht="15" hidden="false" customHeight="false" outlineLevel="0" collapsed="false">
      <c r="A14" s="45" t="s">
        <v>75</v>
      </c>
    </row>
    <row r="15" customFormat="false" ht="15" hidden="false" customHeight="false" outlineLevel="0" collapsed="false">
      <c r="A15" s="45" t="s">
        <v>76</v>
      </c>
    </row>
    <row r="16" customFormat="false" ht="15" hidden="false" customHeight="false" outlineLevel="0" collapsed="false">
      <c r="A16" s="45" t="s">
        <v>77</v>
      </c>
    </row>
    <row r="17" customFormat="false" ht="15" hidden="false" customHeight="false" outlineLevel="0" collapsed="false">
      <c r="A17" s="45" t="s">
        <v>78</v>
      </c>
    </row>
    <row r="18" customFormat="false" ht="15" hidden="false" customHeight="false" outlineLevel="0" collapsed="false">
      <c r="A18" s="47" t="s">
        <v>79</v>
      </c>
    </row>
    <row r="19" customFormat="false" ht="15" hidden="false" customHeight="false" outlineLevel="0" collapsed="false">
      <c r="A19" s="47" t="s">
        <v>80</v>
      </c>
    </row>
    <row r="20" customFormat="false" ht="15" hidden="false" customHeight="false" outlineLevel="0" collapsed="false">
      <c r="A20" s="47" t="s">
        <v>81</v>
      </c>
    </row>
    <row r="21" customFormat="false" ht="15" hidden="false" customHeight="false" outlineLevel="0" collapsed="false">
      <c r="A21" s="45" t="s">
        <v>82</v>
      </c>
    </row>
    <row r="23" customFormat="false" ht="15" hidden="false" customHeight="false" outlineLevel="0" collapsed="false">
      <c r="A23" s="46" t="s">
        <v>83</v>
      </c>
    </row>
    <row r="24" customFormat="false" ht="15" hidden="false" customHeight="false" outlineLevel="0" collapsed="false">
      <c r="A24" s="45" t="s">
        <v>84</v>
      </c>
    </row>
    <row r="25" customFormat="false" ht="15" hidden="false" customHeight="false" outlineLevel="0" collapsed="false">
      <c r="A25" s="45" t="s">
        <v>85</v>
      </c>
    </row>
    <row r="26" customFormat="false" ht="15" hidden="false" customHeight="false" outlineLevel="0" collapsed="false">
      <c r="A26" s="45" t="s">
        <v>86</v>
      </c>
    </row>
    <row r="27" customFormat="false" ht="15" hidden="false" customHeight="false" outlineLevel="0" collapsed="false">
      <c r="A27" s="45" t="s">
        <v>87</v>
      </c>
    </row>
    <row r="29" customFormat="false" ht="15" hidden="false" customHeight="false" outlineLevel="0" collapsed="false">
      <c r="A29" s="43" t="s">
        <v>88</v>
      </c>
    </row>
    <row r="30" customFormat="false" ht="15" hidden="false" customHeight="false" outlineLevel="0" collapsed="false">
      <c r="A30" s="48" t="s">
        <v>89</v>
      </c>
    </row>
    <row r="31" customFormat="false" ht="15" hidden="false" customHeight="false" outlineLevel="0" collapsed="false">
      <c r="A31" s="48" t="s">
        <v>90</v>
      </c>
    </row>
    <row r="32" customFormat="false" ht="15" hidden="false" customHeight="false" outlineLevel="0" collapsed="false">
      <c r="A32" s="48" t="s">
        <v>91</v>
      </c>
    </row>
    <row r="33" customFormat="false" ht="15" hidden="false" customHeight="false" outlineLevel="0" collapsed="false">
      <c r="A33" s="48" t="s">
        <v>92</v>
      </c>
    </row>
    <row r="34" customFormat="false" ht="15" hidden="false" customHeight="false" outlineLevel="0" collapsed="false">
      <c r="A34" s="48" t="s">
        <v>93</v>
      </c>
    </row>
    <row r="36" customFormat="false" ht="15" hidden="false" customHeight="false" outlineLevel="0" collapsed="false">
      <c r="A36" s="43" t="s">
        <v>94</v>
      </c>
    </row>
    <row r="37" customFormat="false" ht="15" hidden="false" customHeight="false" outlineLevel="0" collapsed="false">
      <c r="A37" s="45" t="s">
        <v>95</v>
      </c>
    </row>
    <row r="38" customFormat="false" ht="15" hidden="false" customHeight="false" outlineLevel="0" collapsed="false">
      <c r="A38" s="45" t="s">
        <v>96</v>
      </c>
    </row>
    <row r="39" customFormat="false" ht="15" hidden="false" customHeight="false" outlineLevel="0" collapsed="false">
      <c r="A39" s="45" t="s">
        <v>97</v>
      </c>
    </row>
    <row r="41" customFormat="false" ht="15" hidden="false" customHeight="false" outlineLevel="0" collapsed="false">
      <c r="A41" s="43" t="s">
        <v>98</v>
      </c>
    </row>
    <row r="42" customFormat="false" ht="15" hidden="false" customHeight="false" outlineLevel="0" collapsed="false">
      <c r="A42" s="45" t="s">
        <v>99</v>
      </c>
    </row>
    <row r="43" customFormat="false" ht="15" hidden="false" customHeight="false" outlineLevel="0" collapsed="false">
      <c r="A43" s="45" t="s">
        <v>100</v>
      </c>
    </row>
    <row r="44" customFormat="false" ht="15" hidden="false" customHeight="false" outlineLevel="0" collapsed="false">
      <c r="A44" s="45" t="s">
        <v>101</v>
      </c>
    </row>
    <row r="46" customFormat="false" ht="15" hidden="false" customHeight="false" outlineLevel="0" collapsed="false">
      <c r="A46" s="43" t="s">
        <v>102</v>
      </c>
    </row>
    <row r="47" customFormat="false" ht="15" hidden="false" customHeight="false" outlineLevel="0" collapsed="false">
      <c r="A47" s="45" t="s">
        <v>103</v>
      </c>
    </row>
    <row r="48" customFormat="false" ht="15" hidden="false" customHeight="false" outlineLevel="0" collapsed="false">
      <c r="A48" s="45" t="s">
        <v>104</v>
      </c>
    </row>
    <row r="49" customFormat="false" ht="15" hidden="false" customHeight="false" outlineLevel="0" collapsed="false">
      <c r="A49" s="45" t="s">
        <v>105</v>
      </c>
    </row>
    <row r="50" customFormat="false" ht="15" hidden="false" customHeight="false" outlineLevel="0" collapsed="false">
      <c r="A50" s="45" t="s">
        <v>106</v>
      </c>
    </row>
    <row r="51" customFormat="false" ht="15" hidden="false" customHeight="false" outlineLevel="0" collapsed="false">
      <c r="A51" s="45" t="s">
        <v>107</v>
      </c>
    </row>
    <row r="53" customFormat="false" ht="15" hidden="false" customHeight="false" outlineLevel="0" collapsed="false">
      <c r="A53" s="47" t="s">
        <v>108</v>
      </c>
    </row>
    <row r="54" customFormat="false" ht="15" hidden="false" customHeight="false" outlineLevel="0" collapsed="false">
      <c r="A54" s="4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2026-04-25T08:48:16Z</dcterms:created>
  <dc:creator>openpyxl</dc:creator>
  <dc:description/>
  <dc:language>en-US</dc:language>
  <cp:lastModifiedBy/>
  <dcterms:modified xsi:type="dcterms:W3CDTF">2026-04-25T08:48:16Z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