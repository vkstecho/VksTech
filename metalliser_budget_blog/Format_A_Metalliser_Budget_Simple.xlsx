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udget Summary" sheetId="2" state="visible" r:id="rId4"/>
    <sheet name="Detail Budget" sheetId="3" state="visible" r:id="rId5"/>
    <sheet name="Justification - Essential" sheetId="4" state="visible" r:id="rId6"/>
    <sheet name="Justification - Emergency" sheetId="5" state="visible" r:id="rId7"/>
    <sheet name="Actual vs Propos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<sst xmlns="http://schemas.openxmlformats.org/spreadsheetml/2006/main" count="377" uniqueCount="225">
  <si>
    <t xml:space="preserve">VKS TECH
Operational Excellence   |   vkstech.com</t>
  </si>
  <si>
    <t xml:space="preserve">HOW TO USE THIS FORMAT</t>
  </si>
  <si>
    <t xml:space="preserve">Format A — Category-wise Summary Budget</t>
  </si>
  <si>
    <t xml:space="preserve">STEP</t>
  </si>
  <si>
    <t xml:space="preserve">WHAT TO DO</t>
  </si>
  <si>
    <t xml:space="preserve">1. Fill Department &amp; FY</t>
  </si>
  <si>
    <t xml:space="preserve">On "Budget Summary" sheet — enter department name, FY, prepared-by, approved-by.</t>
  </si>
  <si>
    <t xml:space="preserve">2. Fill Detail Budget</t>
  </si>
  <si>
    <t xml:space="preserve">Go to "Detail Budget" sheet. For each line item, fill LAST FY actual cost (blue cells). The 20% hike column calculates automatically.</t>
  </si>
  <si>
    <t xml:space="preserve">3. Fill Justification sheets</t>
  </si>
  <si>
    <t xml:space="preserve">Fill Essential + Emergency justification sheets with costs and reasons. These feed your approval discussion.</t>
  </si>
  <si>
    <t xml:space="preserve">4. Return to Summary</t>
  </si>
  <si>
    <t xml:space="preserve">Copy category totals from Detail Budget into the Summary sheet (blue input cells). Variance calculates automatically.</t>
  </si>
  <si>
    <t xml:space="preserve">5. Actual vs Proposal</t>
  </si>
  <si>
    <t xml:space="preserve">Fill "Actual Consumed" from your SAP/ERP cost-centre report, and "Additional This Year" from new requirements.</t>
  </si>
  <si>
    <t xml:space="preserve">6. Review</t>
  </si>
  <si>
    <t xml:space="preserve">Check variance column for any line where Proposed is more than 30% higher than Last FY — justify or trim.</t>
  </si>
  <si>
    <t xml:space="preserve">7. Sign &amp; Submit</t>
  </si>
  <si>
    <t xml:space="preserve">Get department-head sign-off on Summary + Justification sheets before submission.</t>
  </si>
  <si>
    <t xml:space="preserve">COLOUR CODE</t>
  </si>
  <si>
    <t xml:space="preserve">Blue text + Light blue fill</t>
  </si>
  <si>
    <t xml:space="preserve">INPUT cells — you fill these.</t>
  </si>
  <si>
    <t xml:space="preserve">Black text</t>
  </si>
  <si>
    <t xml:space="preserve">FORMULA cells — calculated automatically.</t>
  </si>
  <si>
    <t xml:space="preserve">Orange / Navy fill</t>
  </si>
  <si>
    <t xml:space="preserve">Total / Header rows — do not overwrite.</t>
  </si>
  <si>
    <t xml:space="preserve">Cream fill</t>
  </si>
  <si>
    <t xml:space="preserve">Reference / note rows.</t>
  </si>
  <si>
    <t xml:space="preserve">TIPS</t>
  </si>
  <si>
    <t xml:space="preserve">Keep justification short</t>
  </si>
  <si>
    <t xml:space="preserve">One sentence per item. "Prevent breakdown" + "last-replaced date" is usually enough.</t>
  </si>
  <si>
    <t xml:space="preserve">Benchmark against Last FY</t>
  </si>
  <si>
    <t xml:space="preserve">If a line item is 0 in Last FY but large in Proposed, it will raise questions. Either add history or split it into Capex/Emergency.</t>
  </si>
  <si>
    <t xml:space="preserve">Separate Capex clearly</t>
  </si>
  <si>
    <t xml:space="preserve">Upgradation items go in a separate line — they need different approval than routine maintenance.</t>
  </si>
  <si>
    <t xml:space="preserve">Use brand-generic language</t>
  </si>
  <si>
    <t xml:space="preserve">Say "Vacuum pump rotary vane spares" rather than a single brand — it keeps procurement flexible.</t>
  </si>
  <si>
    <t xml:space="preserve">Round to nearest 0.05 Lakh</t>
  </si>
  <si>
    <t xml:space="preserve">Precision of ₹50,000 is enough at budget stage. Over-precision signals false confidence.</t>
  </si>
  <si>
    <t xml:space="preserve">VKS TECH — Operational Excellence   |   vkstech.com   |   Shop-Floor Finance Series</t>
  </si>
  <si>
    <t xml:space="preserve">ANNUAL MAINTENANCE BUDGET — CATEGORY SUMMARY</t>
  </si>
  <si>
    <t xml:space="preserve">Department-level routine + emergency + upgradation</t>
  </si>
  <si>
    <t xml:space="preserve">Department:</t>
  </si>
  <si>
    <t xml:space="preserve">[e.g. Metalliser / Extrusion / Printing]</t>
  </si>
  <si>
    <t xml:space="preserve">FY:</t>
  </si>
  <si>
    <t xml:space="preserve">__________</t>
  </si>
  <si>
    <t xml:space="preserve">Prepared by:</t>
  </si>
  <si>
    <t xml:space="preserve">S.No.</t>
  </si>
  <si>
    <t xml:space="preserve">Particulars (Cost Head)</t>
  </si>
  <si>
    <t xml:space="preserve">Proposed
Budget (₹ Lakhs)</t>
  </si>
  <si>
    <t xml:space="preserve">Actual Last FY
(₹ Lakhs)</t>
  </si>
  <si>
    <t xml:space="preserve">Variance
(₹ Lakhs)</t>
  </si>
  <si>
    <t xml:space="preserve">Remarks</t>
  </si>
  <si>
    <t xml:space="preserve">Consumables (wire, clamps, tapes, belts, bearings)</t>
  </si>
  <si>
    <t xml:space="preserve">Daily production consumables — see Detail sheet</t>
  </si>
  <si>
    <t xml:space="preserve">Lub &amp; Oils (pump oils, gear oil, lubricating grease)</t>
  </si>
  <si>
    <t xml:space="preserve">Monthly top-up + annual oil changes</t>
  </si>
  <si>
    <t xml:space="preserve">Essential Spares (pump parts, rollers, seals, shields)</t>
  </si>
  <si>
    <t xml:space="preserve">Breakdown prevention — see Justification sheet</t>
  </si>
  <si>
    <t xml:space="preserve">Services (OEM visits, chiller service, leak testing)</t>
  </si>
  <si>
    <t xml:space="preserve">Annual AMC + ad-hoc specialist visits</t>
  </si>
  <si>
    <t xml:space="preserve">Repair Job Work (re-rubberisation, overhaul, shaft repair)</t>
  </si>
  <si>
    <t xml:space="preserve">External repair vendors</t>
  </si>
  <si>
    <t xml:space="preserve">Electrical &amp; Instrumentation (drives, sensors, PLC, cables)</t>
  </si>
  <si>
    <t xml:space="preserve">See E&amp;I Spares sheet</t>
  </si>
  <si>
    <t xml:space="preserve">Safety, PPE &amp; Housekeeping</t>
  </si>
  <si>
    <t xml:space="preserve">Compliance + shop floor cleanliness</t>
  </si>
  <si>
    <t xml:space="preserve">Stationery &amp; Documentation</t>
  </si>
  <si>
    <t xml:space="preserve">Logbooks, checklists, signage</t>
  </si>
  <si>
    <t xml:space="preserve">A</t>
  </si>
  <si>
    <t xml:space="preserve">Sub Total (Routine Maintenance)</t>
  </si>
  <si>
    <t xml:space="preserve">Emergency Spares (insurance stock — critical long-lead items)</t>
  </si>
  <si>
    <t xml:space="preserve">See Justification — Emergency sheet</t>
  </si>
  <si>
    <t xml:space="preserve">B</t>
  </si>
  <si>
    <t xml:space="preserve">Sub Total (Emergency)</t>
  </si>
  <si>
    <t xml:space="preserve">A+B</t>
  </si>
  <si>
    <t xml:space="preserve">TOTAL (Routine + Emergency)</t>
  </si>
  <si>
    <t xml:space="preserve">Budget per Month</t>
  </si>
  <si>
    <t xml:space="preserve">Upgradation &amp; Modification (new equipment, retrofits)</t>
  </si>
  <si>
    <t xml:space="preserve">Capex proposals — separate approval</t>
  </si>
  <si>
    <t xml:space="preserve">GRAND TOTAL (with Capex)</t>
  </si>
  <si>
    <t xml:space="preserve">*</t>
  </si>
  <si>
    <t xml:space="preserve">All values in ₹ Lakhs. Blue-coloured cells = INPUT (modify as required). Other cells calculate automatically.</t>
  </si>
  <si>
    <t xml:space="preserve">Replace "[Department Name]" in title and update remarks column per your actual scope.</t>
  </si>
  <si>
    <t xml:space="preserve">DETAIL BUDGET — ITEM-WISE</t>
  </si>
  <si>
    <t xml:space="preserve">With MECH / E&amp;I / PROD classification and 20% escalation</t>
  </si>
  <si>
    <t xml:space="preserve">Description</t>
  </si>
  <si>
    <t xml:space="preserve">Machine / Line</t>
  </si>
  <si>
    <t xml:space="preserve">Last FY Cost
(₹ Lakhs)</t>
  </si>
  <si>
    <t xml:space="preserve">Justification</t>
  </si>
  <si>
    <t xml:space="preserve">Category</t>
  </si>
  <si>
    <t xml:space="preserve">Dept
(MECH/E&amp;I/PROD)</t>
  </si>
  <si>
    <t xml:space="preserve">Proposed +20%
(₹ Lakhs)</t>
  </si>
  <si>
    <t xml:space="preserve">Compressor / Air System Spares</t>
  </si>
  <si>
    <t xml:space="preserve">All Lines</t>
  </si>
  <si>
    <t xml:space="preserve">Annual maintenance</t>
  </si>
  <si>
    <t xml:space="preserve">Essential Spares</t>
  </si>
  <si>
    <t xml:space="preserve">MECH</t>
  </si>
  <si>
    <t xml:space="preserve">Cryo-cooler / Polycold Spares
(water-vapour cryopump)</t>
  </si>
  <si>
    <t xml:space="preserve">Annual refrigeration service</t>
  </si>
  <si>
    <t xml:space="preserve">Vacuum Pump Spares — Dry/Screw Type
(e.g. Busch Cobra, Leybold DryVac, Edwards GXS, Pfeiffer HeptaDry)</t>
  </si>
  <si>
    <t xml:space="preserve">Pump PM kit</t>
  </si>
  <si>
    <t xml:space="preserve">Vacuum Pump Spares — Roots Booster
(e.g. Aerzen, Leybold RUVAC, Edwards EH, Pfeiffer Okta)</t>
  </si>
  <si>
    <t xml:space="preserve">Oil + gasket kit</t>
  </si>
  <si>
    <t xml:space="preserve">Vacuum Pump Spares — Rotary Vane
(e.g. Busch R5, Leybold SOGEVAC, Edwards RV, Pfeiffer Duo)</t>
  </si>
  <si>
    <t xml:space="preserve">Vanes + seals</t>
  </si>
  <si>
    <t xml:space="preserve">Vacuum Pump Spares — Diffusion
(e.g. Varian, Edwards Diffstak, Leybold DI)</t>
  </si>
  <si>
    <t xml:space="preserve">Heater + nozzle kit</t>
  </si>
  <si>
    <t xml:space="preserve">Vacuum System Oils
(DP silicone / rotary mineral / booster synthetic)
(e.g. Santovac 5, Dow 704/705, Anderol 555, Busch VE 101)</t>
  </si>
  <si>
    <t xml:space="preserve">Annual oil consumption</t>
  </si>
  <si>
    <t xml:space="preserve">Lub &amp; Oils</t>
  </si>
  <si>
    <t xml:space="preserve">Process Consumables (clamps, wire tubes, masking/cork tape, emery, glass fabric)</t>
  </si>
  <si>
    <t xml:space="preserve">See Process Consumable sheet</t>
  </si>
  <si>
    <t xml:space="preserve">Consumables</t>
  </si>
  <si>
    <t xml:space="preserve">PROD</t>
  </si>
  <si>
    <t xml:space="preserve">Winding Shaft Maintenance
(e.g. Svecom, Double-E, Goldenrod expanding shafts)</t>
  </si>
  <si>
    <t xml:space="preserve">Annual shaft service</t>
  </si>
  <si>
    <t xml:space="preserve">Bow/Spreader Roller Re-rubberisation
(e.g. Kickert, Mount Hope spreader rollers)</t>
  </si>
  <si>
    <t xml:space="preserve">3–5 year cycle cost</t>
  </si>
  <si>
    <t xml:space="preserve">Nip Roller Re-rubberisation</t>
  </si>
  <si>
    <t xml:space="preserve">Annual or on wear</t>
  </si>
  <si>
    <t xml:space="preserve">Belts (Timing, V-Belt, Flat)</t>
  </si>
  <si>
    <t xml:space="preserve">Consumable wear item</t>
  </si>
  <si>
    <t xml:space="preserve">Bearings (Deep Groove, Roller, Thrust)
(e.g. SKF, FAG, NTN, NSK)</t>
  </si>
  <si>
    <t xml:space="preserve">Mechanical Spares (water pumps, valves, pneumatic cylinders, FRL)</t>
  </si>
  <si>
    <t xml:space="preserve">Breakdown prevention</t>
  </si>
  <si>
    <t xml:space="preserve">Maintenance Consumables (bolts, seals, gaskets, O-rings — Viton/EPDM)</t>
  </si>
  <si>
    <t xml:space="preserve">General maintenance</t>
  </si>
  <si>
    <t xml:space="preserve">OEM Annual Service Visit
(primary machine OEM — e.g. BOBST, Buhler Leybold, Applied, Kobelco)</t>
  </si>
  <si>
    <t xml:space="preserve">Annual inspection</t>
  </si>
  <si>
    <t xml:space="preserve">Services</t>
  </si>
  <si>
    <t xml:space="preserve">Cryo-cooler / Chiller Annual Service</t>
  </si>
  <si>
    <t xml:space="preserve">Refrigeration AMC</t>
  </si>
  <si>
    <t xml:space="preserve">Helium Leak Detection Service</t>
  </si>
  <si>
    <t xml:space="preserve">Fine leak location</t>
  </si>
  <si>
    <t xml:space="preserve">VFD / Drives Spares (e.g. Siemens G120, Schneider ATV71, ABB ACS, Emerson Unidrive)</t>
  </si>
  <si>
    <t xml:space="preserve">E&amp;I Spares</t>
  </si>
  <si>
    <t xml:space="preserve">E&amp;I</t>
  </si>
  <si>
    <t xml:space="preserve">Wire Feeder Drives / Stepper Cards (e.g. Stögra, Oriental Motor, Berger Lahr)</t>
  </si>
  <si>
    <t xml:space="preserve">Critical spare stock</t>
  </si>
  <si>
    <t xml:space="preserve">Contactors, Relays, Fuses (e.g. Siemens 3RT, Schneider LC1)</t>
  </si>
  <si>
    <t xml:space="preserve">Panel consumables</t>
  </si>
  <si>
    <t xml:space="preserve">Sensors — Proximity / Flow / Pressure / Temperature (e.g. IFM, Pepperl+Fuchs, Sick)</t>
  </si>
  <si>
    <t xml:space="preserve">Replacement stock</t>
  </si>
  <si>
    <t xml:space="preserve">Vacuum Gauges (e.g. Inficon, Pfeiffer, Leybold Pirani + Cold Cathode)</t>
  </si>
  <si>
    <t xml:space="preserve">Process measurement</t>
  </si>
  <si>
    <t xml:space="preserve">Cables, Connectors, Pneumatic Tubing</t>
  </si>
  <si>
    <t xml:space="preserve">As per requirement</t>
  </si>
  <si>
    <t xml:space="preserve">Evaporation Source / Heater Assembly (insurance spare)</t>
  </si>
  <si>
    <t xml:space="preserve">Metalliser</t>
  </si>
  <si>
    <t xml:space="preserve">Machine stop risk — long lead</t>
  </si>
  <si>
    <t xml:space="preserve">Emergency Spares</t>
  </si>
  <si>
    <t xml:space="preserve">Rotary Pump (standby — new)</t>
  </si>
  <si>
    <t xml:space="preserve">Vacuum performance</t>
  </si>
  <si>
    <t xml:space="preserve">Heating &amp; Cooling Circulation Pump</t>
  </si>
  <si>
    <t xml:space="preserve">Chill-drum critical</t>
  </si>
  <si>
    <t xml:space="preserve">TOTAL</t>
  </si>
  <si>
    <t xml:space="preserve">JUSTIFICATION — ESSENTIAL SPARES</t>
  </si>
  <si>
    <t xml:space="preserve">High-value items for breakdown prevention</t>
  </si>
  <si>
    <t xml:space="preserve">Type</t>
  </si>
  <si>
    <t xml:space="preserve">Item Description</t>
  </si>
  <si>
    <t xml:space="preserve">Cost
(₹ Lakhs)</t>
  </si>
  <si>
    <t xml:space="preserve">Reason for Budget</t>
  </si>
  <si>
    <t xml:space="preserve">Machine/Area</t>
  </si>
  <si>
    <t xml:space="preserve">Remaining Life
of Original</t>
  </si>
  <si>
    <t xml:space="preserve">Can Old Item
be Repaired?</t>
  </si>
  <si>
    <t xml:space="preserve">Expected Life
of New Item</t>
  </si>
  <si>
    <t xml:space="preserve">Schedule
(Month)</t>
  </si>
  <si>
    <t xml:space="preserve">Essential</t>
  </si>
  <si>
    <t xml:space="preserve">Vacuum Pump Spares (generic set for all pump types in line)</t>
  </si>
  <si>
    <t xml:space="preserve">Prevent breakdown</t>
  </si>
  <si>
    <t xml:space="preserve">Cryo-cooler Spares (water-vapour cryopump)</t>
  </si>
  <si>
    <t xml:space="preserve">Chill-drum &amp; moisture barrier</t>
  </si>
  <si>
    <t xml:space="preserve">Drives &amp; VFDs (major brands — insurance stock)</t>
  </si>
  <si>
    <t xml:space="preserve">PLC / Safety Relay / I-O Modules</t>
  </si>
  <si>
    <t xml:space="preserve">Control-panel safety</t>
  </si>
  <si>
    <t xml:space="preserve">Bearings Stock (all sizes per bearing schedule)</t>
  </si>
  <si>
    <t xml:space="preserve">Preventive replacement</t>
  </si>
  <si>
    <t xml:space="preserve">Oil Seal / Lip Seal / O-Ring Stock</t>
  </si>
  <si>
    <t xml:space="preserve">Routine replacement</t>
  </si>
  <si>
    <t xml:space="preserve">Mass Flow Controllers / Gas Controllers</t>
  </si>
  <si>
    <t xml:space="preserve">Process gas control</t>
  </si>
  <si>
    <t xml:space="preserve">Belts (Timing + V-Belt)</t>
  </si>
  <si>
    <t xml:space="preserve">Vacuum Gauges (Pirani + Cold Cathode)</t>
  </si>
  <si>
    <t xml:space="preserve">Shield / Shutter Spares</t>
  </si>
  <si>
    <t xml:space="preserve">Prevent contamination</t>
  </si>
  <si>
    <t xml:space="preserve">Chuck / Core-holder Spares</t>
  </si>
  <si>
    <t xml:space="preserve">Roll-mounting reliability</t>
  </si>
  <si>
    <t xml:space="preserve">Refrigerant / Cryo-gas (water-vapour-pump refill)</t>
  </si>
  <si>
    <t xml:space="preserve">Chill-drum uptime</t>
  </si>
  <si>
    <t xml:space="preserve">Evaporation Heater / Boat Clamps</t>
  </si>
  <si>
    <t xml:space="preserve">Couplings / Valves / Water Pumps</t>
  </si>
  <si>
    <t xml:space="preserve">Cooling circuit uptime</t>
  </si>
  <si>
    <t xml:space="preserve">JUSTIFICATION — EMERGENCY SPARES</t>
  </si>
  <si>
    <t xml:space="preserve">Insurance stock for long-lead, machine-stop items</t>
  </si>
  <si>
    <t xml:space="preserve">Emergency</t>
  </si>
  <si>
    <t xml:space="preserve">Source / Evaporator Frame (main evaporator assembly)</t>
  </si>
  <si>
    <t xml:space="preserve">Machine stop risk — OEM long lead</t>
  </si>
  <si>
    <t xml:space="preserve">Strobe Window Flap / Viewing Port</t>
  </si>
  <si>
    <t xml:space="preserve">Prevent extended breakdown</t>
  </si>
  <si>
    <t xml:space="preserve">Evaporator Bushings / Source Electrodes</t>
  </si>
  <si>
    <t xml:space="preserve">Unique spare — OEM only</t>
  </si>
  <si>
    <t xml:space="preserve">Unwind / Rewind Housing (Coupling + Housing)</t>
  </si>
  <si>
    <t xml:space="preserve">Prolonged-usage damage risk</t>
  </si>
  <si>
    <t xml:space="preserve">Bow Roller Assembly / Spreader Assembly</t>
  </si>
  <si>
    <t xml:space="preserve">Prevent web-handling breakdown</t>
  </si>
  <si>
    <t xml:space="preserve">Critical for product quality</t>
  </si>
  <si>
    <t xml:space="preserve">Rotary Vacuum Pump (standby — new)</t>
  </si>
  <si>
    <t xml:space="preserve">Vacuum level restoration</t>
  </si>
  <si>
    <t xml:space="preserve">Complete Drum Shield Set</t>
  </si>
  <si>
    <t xml:space="preserve">Machine stop if damaged</t>
  </si>
  <si>
    <t xml:space="preserve">Main Drive Motor (line speed motor)</t>
  </si>
  <si>
    <t xml:space="preserve">Long-lead motor replacement</t>
  </si>
  <si>
    <t xml:space="preserve">CATEGORY-WISE ACTUAL vs PROPOSED BUDGET</t>
  </si>
  <si>
    <t xml:space="preserve">Compare last FY consumption with this year's proposal</t>
  </si>
  <si>
    <t xml:space="preserve">Actual Consumed
(₹ Lakhs)</t>
  </si>
  <si>
    <t xml:space="preserve">Additional
This Year</t>
  </si>
  <si>
    <t xml:space="preserve">Total Proposed
(₹ Lakhs)</t>
  </si>
  <si>
    <t xml:space="preserve">Spares</t>
  </si>
  <si>
    <t xml:space="preserve">Consumables (Process)</t>
  </si>
  <si>
    <t xml:space="preserve">Critical Bearings / Tools</t>
  </si>
  <si>
    <t xml:space="preserve">Electrical &amp; Instrumentation</t>
  </si>
  <si>
    <t xml:space="preserve">Belts</t>
  </si>
  <si>
    <t xml:space="preserve">Services &amp; Job Work</t>
  </si>
  <si>
    <t xml:space="preserve">Stationery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</si>
</sst>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#,##0.00_-;_-\(#,##0.00\)_-;_-\-_-;_-@_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2744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i val="true"/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A274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i val="true"/>
      <sz val="10"/>
      <name val="Calibri"/>
      <family val="0"/>
      <charset val="1"/>
    </font>
    <font>
      <b val="true"/>
      <sz val="11"/>
      <color rgb="FFE85D2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8F6F1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E8F0FE"/>
        <bgColor rgb="FFF8F6F1"/>
      </patternFill>
    </fill>
    <fill>
      <patternFill patternType="solid">
        <fgColor rgb="FFF8F6F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7C2B8"/>
      </left>
      <right style="thin">
        <color rgb="FFC7C2B8"/>
      </right>
      <top style="thin">
        <color rgb="FFC7C2B8"/>
      </top>
      <bottom style="thin">
        <color rgb="FFC7C2B8"/>
      </bottom>
      <diagonal/>
    </border>
    <border diagonalUp="false" diagonalDown="false">
      <left style="medium">
        <color rgb="FF1A2744"/>
      </left>
      <right style="medium">
        <color rgb="FF1A2744"/>
      </right>
      <top style="medium">
        <color rgb="FF1A2744"/>
      </top>
      <bottom style="medium">
        <color rgb="FF1A27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7C2B8"/>
      <rgbColor rgb="FF808080"/>
      <rgbColor rgb="FF9999FF"/>
      <rgbColor rgb="FF993366"/>
      <rgbColor rgb="FFF8F6F1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90"/>
  </cols>
  <sheetData>
    <row r="1" customFormat="false" ht="69.75" hidden="false" customHeight="true" outlineLevel="0" collapsed="false">
      <c r="A1" s="1"/>
      <c r="B1" s="2" t="s">
        <v>0</v>
      </c>
    </row>
    <row r="2" customFormat="false" ht="3.75" hidden="false" customHeight="true" outlineLevel="0" collapsed="false">
      <c r="A2" s="3"/>
      <c r="B2" s="3"/>
    </row>
    <row r="3" customFormat="false" ht="30" hidden="false" customHeight="true" outlineLevel="0" collapsed="false">
      <c r="A3" s="4" t="s">
        <v>1</v>
      </c>
      <c r="B3" s="4"/>
    </row>
    <row r="4" customFormat="false" ht="21.75" hidden="false" customHeight="true" outlineLevel="0" collapsed="false">
      <c r="A4" s="5" t="s">
        <v>2</v>
      </c>
      <c r="B4" s="5"/>
    </row>
    <row r="5" customFormat="false" ht="7.5" hidden="false" customHeight="true" outlineLevel="0" collapsed="false"/>
    <row r="6" customFormat="false" ht="27.75" hidden="false" customHeight="true" outlineLevel="0" collapsed="false">
      <c r="A6" s="6" t="s">
        <v>3</v>
      </c>
      <c r="B6" s="6" t="s">
        <v>4</v>
      </c>
    </row>
    <row r="7" customFormat="false" ht="27.75" hidden="false" customHeight="true" outlineLevel="0" collapsed="false">
      <c r="A7" s="7" t="s">
        <v>5</v>
      </c>
      <c r="B7" s="8" t="s">
        <v>6</v>
      </c>
    </row>
    <row r="8" customFormat="false" ht="27.75" hidden="false" customHeight="true" outlineLevel="0" collapsed="false">
      <c r="A8" s="7" t="s">
        <v>7</v>
      </c>
      <c r="B8" s="8" t="s">
        <v>8</v>
      </c>
    </row>
    <row r="9" customFormat="false" ht="27.75" hidden="false" customHeight="true" outlineLevel="0" collapsed="false">
      <c r="A9" s="7" t="s">
        <v>9</v>
      </c>
      <c r="B9" s="8" t="s">
        <v>10</v>
      </c>
    </row>
    <row r="10" customFormat="false" ht="27.75" hidden="false" customHeight="true" outlineLevel="0" collapsed="false">
      <c r="A10" s="7" t="s">
        <v>11</v>
      </c>
      <c r="B10" s="8" t="s">
        <v>12</v>
      </c>
    </row>
    <row r="11" customFormat="false" ht="27.75" hidden="false" customHeight="true" outlineLevel="0" collapsed="false">
      <c r="A11" s="7" t="s">
        <v>13</v>
      </c>
      <c r="B11" s="8" t="s">
        <v>14</v>
      </c>
    </row>
    <row r="12" customFormat="false" ht="27.75" hidden="false" customHeight="true" outlineLevel="0" collapsed="false">
      <c r="A12" s="7" t="s">
        <v>15</v>
      </c>
      <c r="B12" s="8" t="s">
        <v>16</v>
      </c>
    </row>
    <row r="13" customFormat="false" ht="27.75" hidden="false" customHeight="true" outlineLevel="0" collapsed="false">
      <c r="A13" s="7" t="s">
        <v>17</v>
      </c>
      <c r="B13" s="8" t="s">
        <v>18</v>
      </c>
    </row>
    <row r="15" customFormat="false" ht="27.75" hidden="false" customHeight="true" outlineLevel="0" collapsed="false">
      <c r="A15" s="6" t="s">
        <v>19</v>
      </c>
      <c r="B15" s="6"/>
    </row>
    <row r="16" customFormat="false" ht="27.75" hidden="false" customHeight="true" outlineLevel="0" collapsed="false">
      <c r="A16" s="7" t="s">
        <v>20</v>
      </c>
      <c r="B16" s="8" t="s">
        <v>21</v>
      </c>
    </row>
    <row r="17" customFormat="false" ht="27.75" hidden="false" customHeight="true" outlineLevel="0" collapsed="false">
      <c r="A17" s="7" t="s">
        <v>22</v>
      </c>
      <c r="B17" s="8" t="s">
        <v>23</v>
      </c>
    </row>
    <row r="18" customFormat="false" ht="27.75" hidden="false" customHeight="true" outlineLevel="0" collapsed="false">
      <c r="A18" s="7" t="s">
        <v>24</v>
      </c>
      <c r="B18" s="8" t="s">
        <v>25</v>
      </c>
    </row>
    <row r="19" customFormat="false" ht="27.75" hidden="false" customHeight="true" outlineLevel="0" collapsed="false">
      <c r="A19" s="7" t="s">
        <v>26</v>
      </c>
      <c r="B19" s="8" t="s">
        <v>27</v>
      </c>
    </row>
    <row r="21" customFormat="false" ht="27.75" hidden="false" customHeight="true" outlineLevel="0" collapsed="false">
      <c r="A21" s="6" t="s">
        <v>28</v>
      </c>
      <c r="B21" s="6"/>
    </row>
    <row r="22" customFormat="false" ht="27.75" hidden="false" customHeight="true" outlineLevel="0" collapsed="false">
      <c r="A22" s="7" t="s">
        <v>29</v>
      </c>
      <c r="B22" s="8" t="s">
        <v>30</v>
      </c>
    </row>
    <row r="23" customFormat="false" ht="27.75" hidden="false" customHeight="true" outlineLevel="0" collapsed="false">
      <c r="A23" s="7" t="s">
        <v>31</v>
      </c>
      <c r="B23" s="8" t="s">
        <v>32</v>
      </c>
    </row>
    <row r="24" customFormat="false" ht="27.75" hidden="false" customHeight="true" outlineLevel="0" collapsed="false">
      <c r="A24" s="7" t="s">
        <v>33</v>
      </c>
      <c r="B24" s="8" t="s">
        <v>34</v>
      </c>
    </row>
    <row r="25" customFormat="false" ht="27.75" hidden="false" customHeight="true" outlineLevel="0" collapsed="false">
      <c r="A25" s="7" t="s">
        <v>35</v>
      </c>
      <c r="B25" s="8" t="s">
        <v>36</v>
      </c>
    </row>
    <row r="26" customFormat="false" ht="27.75" hidden="false" customHeight="true" outlineLevel="0" collapsed="false">
      <c r="A26" s="7" t="s">
        <v>37</v>
      </c>
      <c r="B26" s="8" t="s">
        <v>38</v>
      </c>
    </row>
    <row r="29" customFormat="false" ht="3.75" hidden="false" customHeight="true" outlineLevel="0" collapsed="false">
      <c r="A29" s="3"/>
      <c r="B29" s="3"/>
    </row>
    <row r="30" customFormat="false" ht="21.75" hidden="false" customHeight="true" outlineLevel="0" collapsed="false">
      <c r="A30" s="9" t="s">
        <v>39</v>
      </c>
      <c r="B30" s="9"/>
    </row>
  </sheetData>
  <mergeCells count="3">
    <mergeCell ref="A3:B3"/>
    <mergeCell ref="A4:B4"/>
    <mergeCell ref="A30:B30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  <c r="F1" s="10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</row>
    <row r="3" customFormat="false" ht="30" hidden="false" customHeight="true" outlineLevel="0" collapsed="false">
      <c r="A3" s="4" t="s">
        <v>40</v>
      </c>
      <c r="B3" s="4"/>
      <c r="C3" s="4"/>
      <c r="D3" s="4"/>
      <c r="E3" s="4"/>
      <c r="F3" s="4"/>
    </row>
    <row r="4" customFormat="false" ht="21.75" hidden="false" customHeight="true" outlineLevel="0" collapsed="false">
      <c r="A4" s="5" t="s">
        <v>41</v>
      </c>
      <c r="B4" s="5"/>
      <c r="C4" s="5"/>
      <c r="D4" s="5"/>
      <c r="E4" s="5"/>
      <c r="F4" s="5"/>
    </row>
    <row r="5" customFormat="false" ht="7.5" hidden="false" customHeight="true" outlineLevel="0" collapsed="false"/>
    <row r="6" customFormat="false" ht="15" hidden="false" customHeight="false" outlineLevel="0" collapsed="false">
      <c r="A6" s="11" t="s">
        <v>42</v>
      </c>
      <c r="B6" s="12" t="s">
        <v>43</v>
      </c>
      <c r="C6" s="11" t="s">
        <v>44</v>
      </c>
      <c r="D6" s="12" t="s">
        <v>45</v>
      </c>
      <c r="E6" s="11" t="s">
        <v>46</v>
      </c>
      <c r="F6" s="12" t="s">
        <v>45</v>
      </c>
    </row>
    <row r="8" customFormat="false" ht="39.75" hidden="false" customHeight="true" outlineLevel="0" collapsed="false">
      <c r="A8" s="13" t="s">
        <v>47</v>
      </c>
      <c r="B8" s="13" t="s">
        <v>48</v>
      </c>
      <c r="C8" s="13" t="s">
        <v>49</v>
      </c>
      <c r="D8" s="13" t="s">
        <v>50</v>
      </c>
      <c r="E8" s="13" t="s">
        <v>51</v>
      </c>
      <c r="F8" s="13" t="s">
        <v>52</v>
      </c>
    </row>
    <row r="9" customFormat="false" ht="15" hidden="false" customHeight="false" outlineLevel="0" collapsed="false">
      <c r="A9" s="14" t="n">
        <v>1</v>
      </c>
      <c r="B9" s="15" t="s">
        <v>53</v>
      </c>
      <c r="C9" s="16"/>
      <c r="D9" s="16"/>
      <c r="E9" s="17" t="n">
        <f aca="false">C9-D9</f>
        <v>0</v>
      </c>
      <c r="F9" s="15" t="s">
        <v>54</v>
      </c>
    </row>
    <row r="10" customFormat="false" ht="15" hidden="false" customHeight="false" outlineLevel="0" collapsed="false">
      <c r="A10" s="14" t="n">
        <v>2</v>
      </c>
      <c r="B10" s="15" t="s">
        <v>55</v>
      </c>
      <c r="C10" s="16"/>
      <c r="D10" s="16"/>
      <c r="E10" s="17" t="n">
        <f aca="false">C10-D10</f>
        <v>0</v>
      </c>
      <c r="F10" s="15" t="s">
        <v>56</v>
      </c>
    </row>
    <row r="11" customFormat="false" ht="15" hidden="false" customHeight="false" outlineLevel="0" collapsed="false">
      <c r="A11" s="14" t="n">
        <v>3</v>
      </c>
      <c r="B11" s="15" t="s">
        <v>57</v>
      </c>
      <c r="C11" s="16"/>
      <c r="D11" s="16"/>
      <c r="E11" s="17" t="n">
        <f aca="false">C11-D11</f>
        <v>0</v>
      </c>
      <c r="F11" s="15" t="s">
        <v>58</v>
      </c>
    </row>
    <row r="12" customFormat="false" ht="15" hidden="false" customHeight="false" outlineLevel="0" collapsed="false">
      <c r="A12" s="14" t="n">
        <v>4</v>
      </c>
      <c r="B12" s="15" t="s">
        <v>59</v>
      </c>
      <c r="C12" s="16"/>
      <c r="D12" s="16"/>
      <c r="E12" s="17" t="n">
        <f aca="false">C12-D12</f>
        <v>0</v>
      </c>
      <c r="F12" s="15" t="s">
        <v>60</v>
      </c>
    </row>
    <row r="13" customFormat="false" ht="15" hidden="false" customHeight="false" outlineLevel="0" collapsed="false">
      <c r="A13" s="14" t="n">
        <v>5</v>
      </c>
      <c r="B13" s="15" t="s">
        <v>61</v>
      </c>
      <c r="C13" s="16"/>
      <c r="D13" s="16"/>
      <c r="E13" s="17" t="n">
        <f aca="false">C13-D13</f>
        <v>0</v>
      </c>
      <c r="F13" s="15" t="s">
        <v>62</v>
      </c>
    </row>
    <row r="14" customFormat="false" ht="15" hidden="false" customHeight="false" outlineLevel="0" collapsed="false">
      <c r="A14" s="14" t="n">
        <v>6</v>
      </c>
      <c r="B14" s="15" t="s">
        <v>63</v>
      </c>
      <c r="C14" s="16"/>
      <c r="D14" s="16"/>
      <c r="E14" s="17" t="n">
        <f aca="false">C14-D14</f>
        <v>0</v>
      </c>
      <c r="F14" s="15" t="s">
        <v>64</v>
      </c>
    </row>
    <row r="15" customFormat="false" ht="15" hidden="false" customHeight="false" outlineLevel="0" collapsed="false">
      <c r="A15" s="14" t="n">
        <v>7</v>
      </c>
      <c r="B15" s="15" t="s">
        <v>65</v>
      </c>
      <c r="C15" s="16"/>
      <c r="D15" s="16"/>
      <c r="E15" s="17" t="n">
        <f aca="false">C15-D15</f>
        <v>0</v>
      </c>
      <c r="F15" s="15" t="s">
        <v>66</v>
      </c>
    </row>
    <row r="16" customFormat="false" ht="15" hidden="false" customHeight="false" outlineLevel="0" collapsed="false">
      <c r="A16" s="14" t="n">
        <v>8</v>
      </c>
      <c r="B16" s="15" t="s">
        <v>67</v>
      </c>
      <c r="C16" s="16"/>
      <c r="D16" s="16"/>
      <c r="E16" s="17" t="n">
        <f aca="false">C16-D16</f>
        <v>0</v>
      </c>
      <c r="F16" s="15" t="s">
        <v>68</v>
      </c>
    </row>
    <row r="17" customFormat="false" ht="15" hidden="false" customHeight="false" outlineLevel="0" collapsed="false">
      <c r="A17" s="18" t="s">
        <v>69</v>
      </c>
      <c r="B17" s="19" t="s">
        <v>70</v>
      </c>
      <c r="C17" s="20" t="n">
        <f aca="false">SUM(C9:C16)</f>
        <v>0</v>
      </c>
      <c r="D17" s="20" t="n">
        <f aca="false">SUM(D9:D16)</f>
        <v>0</v>
      </c>
      <c r="E17" s="20" t="n">
        <f aca="false">C17-D17</f>
        <v>0</v>
      </c>
      <c r="F17" s="21"/>
    </row>
    <row r="18" customFormat="false" ht="15" hidden="false" customHeight="false" outlineLevel="0" collapsed="false">
      <c r="A18" s="14" t="n">
        <v>9</v>
      </c>
      <c r="B18" s="15" t="s">
        <v>71</v>
      </c>
      <c r="C18" s="16"/>
      <c r="D18" s="16"/>
      <c r="E18" s="17" t="n">
        <f aca="false">C18-D18</f>
        <v>0</v>
      </c>
      <c r="F18" s="15" t="s">
        <v>72</v>
      </c>
    </row>
    <row r="19" customFormat="false" ht="15" hidden="false" customHeight="false" outlineLevel="0" collapsed="false">
      <c r="A19" s="18" t="s">
        <v>73</v>
      </c>
      <c r="B19" s="19" t="s">
        <v>74</v>
      </c>
      <c r="C19" s="20" t="n">
        <f aca="false">C18</f>
        <v>0</v>
      </c>
      <c r="D19" s="20" t="n">
        <f aca="false">D18</f>
        <v>0</v>
      </c>
      <c r="E19" s="20" t="n">
        <f aca="false">C19-D19</f>
        <v>0</v>
      </c>
      <c r="F19" s="21"/>
    </row>
    <row r="20" customFormat="false" ht="15" hidden="false" customHeight="false" outlineLevel="0" collapsed="false">
      <c r="A20" s="22" t="s">
        <v>75</v>
      </c>
      <c r="B20" s="23" t="s">
        <v>76</v>
      </c>
      <c r="C20" s="24" t="n">
        <f aca="false">C17+C19</f>
        <v>0</v>
      </c>
      <c r="D20" s="24" t="n">
        <f aca="false">D17+D19</f>
        <v>0</v>
      </c>
      <c r="E20" s="24" t="n">
        <f aca="false">C20-D20</f>
        <v>0</v>
      </c>
      <c r="F20" s="25"/>
    </row>
    <row r="21" customFormat="false" ht="15" hidden="false" customHeight="false" outlineLevel="0" collapsed="false">
      <c r="A21" s="26"/>
      <c r="B21" s="27" t="s">
        <v>77</v>
      </c>
      <c r="C21" s="28" t="n">
        <f aca="false">C20/12</f>
        <v>0</v>
      </c>
      <c r="D21" s="26"/>
      <c r="E21" s="26"/>
      <c r="F21" s="26"/>
    </row>
    <row r="23" customFormat="false" ht="15" hidden="false" customHeight="false" outlineLevel="0" collapsed="false">
      <c r="A23" s="14" t="n">
        <v>10</v>
      </c>
      <c r="B23" s="15" t="s">
        <v>78</v>
      </c>
      <c r="C23" s="16"/>
      <c r="D23" s="29"/>
      <c r="E23" s="29"/>
      <c r="F23" s="15" t="s">
        <v>79</v>
      </c>
    </row>
    <row r="24" customFormat="false" ht="15" hidden="false" customHeight="false" outlineLevel="0" collapsed="false">
      <c r="A24" s="30"/>
      <c r="B24" s="31" t="s">
        <v>80</v>
      </c>
      <c r="C24" s="32" t="n">
        <f aca="false">C20+C23</f>
        <v>0</v>
      </c>
      <c r="D24" s="33"/>
      <c r="E24" s="33"/>
      <c r="F24" s="33"/>
    </row>
    <row r="26" customFormat="false" ht="15" hidden="false" customHeight="false" outlineLevel="0" collapsed="false">
      <c r="A26" s="34" t="s">
        <v>81</v>
      </c>
      <c r="B26" s="35" t="s">
        <v>82</v>
      </c>
      <c r="C26" s="35"/>
      <c r="D26" s="35"/>
      <c r="E26" s="35"/>
      <c r="F26" s="35"/>
    </row>
    <row r="27" customFormat="false" ht="15" hidden="false" customHeight="false" outlineLevel="0" collapsed="false">
      <c r="A27" s="34" t="s">
        <v>81</v>
      </c>
      <c r="B27" s="35" t="s">
        <v>83</v>
      </c>
      <c r="C27" s="35"/>
      <c r="D27" s="35"/>
      <c r="E27" s="35"/>
      <c r="F27" s="35"/>
    </row>
    <row r="30" customFormat="false" ht="3.75" hidden="false" customHeight="true" outlineLevel="0" collapsed="false">
      <c r="A30" s="3"/>
      <c r="B30" s="3"/>
      <c r="C30" s="3"/>
      <c r="D30" s="3"/>
      <c r="E30" s="3"/>
      <c r="F30" s="3"/>
    </row>
    <row r="31" customFormat="false" ht="21.75" hidden="false" customHeight="true" outlineLevel="0" collapsed="false">
      <c r="A31" s="9" t="s">
        <v>39</v>
      </c>
      <c r="B31" s="9"/>
      <c r="C31" s="9"/>
      <c r="D31" s="9"/>
      <c r="E31" s="9"/>
      <c r="F31" s="9"/>
    </row>
  </sheetData>
  <mergeCells count="6">
    <mergeCell ref="B1:F1"/>
    <mergeCell ref="A3:F3"/>
    <mergeCell ref="A4:F4"/>
    <mergeCell ref="B26:F26"/>
    <mergeCell ref="B27:F27"/>
    <mergeCell ref="A31:F31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  <c r="F1" s="10"/>
      <c r="G1" s="10"/>
      <c r="H1" s="10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4" t="s">
        <v>84</v>
      </c>
      <c r="B3" s="4"/>
      <c r="C3" s="4"/>
      <c r="D3" s="4"/>
      <c r="E3" s="4"/>
      <c r="F3" s="4"/>
      <c r="G3" s="4"/>
      <c r="H3" s="4"/>
    </row>
    <row r="4" customFormat="false" ht="21.75" hidden="false" customHeight="true" outlineLevel="0" collapsed="false">
      <c r="A4" s="5" t="s">
        <v>85</v>
      </c>
      <c r="B4" s="5"/>
      <c r="C4" s="5"/>
      <c r="D4" s="5"/>
      <c r="E4" s="5"/>
      <c r="F4" s="5"/>
      <c r="G4" s="5"/>
      <c r="H4" s="5"/>
    </row>
    <row r="5" customFormat="false" ht="7.5" hidden="false" customHeight="true" outlineLevel="0" collapsed="false"/>
    <row r="6" customFormat="false" ht="39.75" hidden="false" customHeight="true" outlineLevel="0" collapsed="false">
      <c r="A6" s="13" t="s">
        <v>47</v>
      </c>
      <c r="B6" s="13" t="s">
        <v>86</v>
      </c>
      <c r="C6" s="13" t="s">
        <v>87</v>
      </c>
      <c r="D6" s="13" t="s">
        <v>88</v>
      </c>
      <c r="E6" s="13" t="s">
        <v>89</v>
      </c>
      <c r="F6" s="13" t="s">
        <v>90</v>
      </c>
      <c r="G6" s="13" t="s">
        <v>91</v>
      </c>
      <c r="H6" s="13" t="s">
        <v>92</v>
      </c>
    </row>
    <row r="7" customFormat="false" ht="15" hidden="false" customHeight="false" outlineLevel="0" collapsed="false">
      <c r="A7" s="14" t="n">
        <v>1</v>
      </c>
      <c r="B7" s="15" t="s">
        <v>93</v>
      </c>
      <c r="C7" s="14" t="s">
        <v>94</v>
      </c>
      <c r="D7" s="16"/>
      <c r="E7" s="15" t="s">
        <v>95</v>
      </c>
      <c r="F7" s="14" t="s">
        <v>96</v>
      </c>
      <c r="G7" s="14" t="s">
        <v>97</v>
      </c>
      <c r="H7" s="17" t="n">
        <f aca="false">D7*1.2</f>
        <v>0</v>
      </c>
    </row>
    <row r="8" customFormat="false" ht="36" hidden="false" customHeight="true" outlineLevel="0" collapsed="false">
      <c r="A8" s="36" t="n">
        <v>2</v>
      </c>
      <c r="B8" s="37" t="s">
        <v>98</v>
      </c>
      <c r="C8" s="36" t="s">
        <v>94</v>
      </c>
      <c r="D8" s="38"/>
      <c r="E8" s="37" t="s">
        <v>99</v>
      </c>
      <c r="F8" s="36" t="s">
        <v>96</v>
      </c>
      <c r="G8" s="36" t="s">
        <v>97</v>
      </c>
      <c r="H8" s="39" t="n">
        <f aca="false">D8*1.2</f>
        <v>0</v>
      </c>
    </row>
    <row r="9" customFormat="false" ht="36" hidden="false" customHeight="true" outlineLevel="0" collapsed="false">
      <c r="A9" s="14" t="n">
        <v>3</v>
      </c>
      <c r="B9" s="15" t="s">
        <v>100</v>
      </c>
      <c r="C9" s="14" t="s">
        <v>94</v>
      </c>
      <c r="D9" s="16"/>
      <c r="E9" s="15" t="s">
        <v>101</v>
      </c>
      <c r="F9" s="14" t="s">
        <v>96</v>
      </c>
      <c r="G9" s="14" t="s">
        <v>97</v>
      </c>
      <c r="H9" s="17" t="n">
        <f aca="false">D9*1.2</f>
        <v>0</v>
      </c>
    </row>
    <row r="10" customFormat="false" ht="36" hidden="false" customHeight="true" outlineLevel="0" collapsed="false">
      <c r="A10" s="36" t="n">
        <v>4</v>
      </c>
      <c r="B10" s="37" t="s">
        <v>102</v>
      </c>
      <c r="C10" s="36" t="s">
        <v>94</v>
      </c>
      <c r="D10" s="38"/>
      <c r="E10" s="37" t="s">
        <v>103</v>
      </c>
      <c r="F10" s="36" t="s">
        <v>96</v>
      </c>
      <c r="G10" s="36" t="s">
        <v>97</v>
      </c>
      <c r="H10" s="39" t="n">
        <f aca="false">D10*1.2</f>
        <v>0</v>
      </c>
    </row>
    <row r="11" customFormat="false" ht="36" hidden="false" customHeight="true" outlineLevel="0" collapsed="false">
      <c r="A11" s="14" t="n">
        <v>5</v>
      </c>
      <c r="B11" s="15" t="s">
        <v>104</v>
      </c>
      <c r="C11" s="14" t="s">
        <v>94</v>
      </c>
      <c r="D11" s="16"/>
      <c r="E11" s="15" t="s">
        <v>105</v>
      </c>
      <c r="F11" s="14" t="s">
        <v>96</v>
      </c>
      <c r="G11" s="14" t="s">
        <v>97</v>
      </c>
      <c r="H11" s="17" t="n">
        <f aca="false">D11*1.2</f>
        <v>0</v>
      </c>
    </row>
    <row r="12" customFormat="false" ht="36" hidden="false" customHeight="true" outlineLevel="0" collapsed="false">
      <c r="A12" s="36" t="n">
        <v>6</v>
      </c>
      <c r="B12" s="37" t="s">
        <v>106</v>
      </c>
      <c r="C12" s="36" t="s">
        <v>94</v>
      </c>
      <c r="D12" s="38"/>
      <c r="E12" s="37" t="s">
        <v>107</v>
      </c>
      <c r="F12" s="36" t="s">
        <v>96</v>
      </c>
      <c r="G12" s="36" t="s">
        <v>97</v>
      </c>
      <c r="H12" s="39" t="n">
        <f aca="false">D12*1.2</f>
        <v>0</v>
      </c>
    </row>
    <row r="13" customFormat="false" ht="49.5" hidden="false" customHeight="true" outlineLevel="0" collapsed="false">
      <c r="A13" s="14" t="n">
        <v>7</v>
      </c>
      <c r="B13" s="15" t="s">
        <v>108</v>
      </c>
      <c r="C13" s="14" t="s">
        <v>94</v>
      </c>
      <c r="D13" s="16"/>
      <c r="E13" s="15" t="s">
        <v>109</v>
      </c>
      <c r="F13" s="14" t="s">
        <v>110</v>
      </c>
      <c r="G13" s="14" t="s">
        <v>97</v>
      </c>
      <c r="H13" s="17" t="n">
        <f aca="false">D13*1.2</f>
        <v>0</v>
      </c>
    </row>
    <row r="14" customFormat="false" ht="28.35" hidden="false" customHeight="false" outlineLevel="0" collapsed="false">
      <c r="A14" s="36" t="n">
        <v>8</v>
      </c>
      <c r="B14" s="37" t="s">
        <v>111</v>
      </c>
      <c r="C14" s="36" t="s">
        <v>94</v>
      </c>
      <c r="D14" s="38"/>
      <c r="E14" s="37" t="s">
        <v>112</v>
      </c>
      <c r="F14" s="36" t="s">
        <v>113</v>
      </c>
      <c r="G14" s="36" t="s">
        <v>114</v>
      </c>
      <c r="H14" s="39" t="n">
        <f aca="false">D14*1.2</f>
        <v>0</v>
      </c>
    </row>
    <row r="15" customFormat="false" ht="36" hidden="false" customHeight="true" outlineLevel="0" collapsed="false">
      <c r="A15" s="14" t="n">
        <v>9</v>
      </c>
      <c r="B15" s="15" t="s">
        <v>115</v>
      </c>
      <c r="C15" s="14" t="s">
        <v>94</v>
      </c>
      <c r="D15" s="16"/>
      <c r="E15" s="15" t="s">
        <v>116</v>
      </c>
      <c r="F15" s="14" t="s">
        <v>96</v>
      </c>
      <c r="G15" s="14" t="s">
        <v>97</v>
      </c>
      <c r="H15" s="17" t="n">
        <f aca="false">D15*1.2</f>
        <v>0</v>
      </c>
    </row>
    <row r="16" customFormat="false" ht="36" hidden="false" customHeight="true" outlineLevel="0" collapsed="false">
      <c r="A16" s="36" t="n">
        <v>10</v>
      </c>
      <c r="B16" s="37" t="s">
        <v>117</v>
      </c>
      <c r="C16" s="36" t="s">
        <v>94</v>
      </c>
      <c r="D16" s="38"/>
      <c r="E16" s="37" t="s">
        <v>118</v>
      </c>
      <c r="F16" s="36" t="s">
        <v>96</v>
      </c>
      <c r="G16" s="36" t="s">
        <v>97</v>
      </c>
      <c r="H16" s="39" t="n">
        <f aca="false">D16*1.2</f>
        <v>0</v>
      </c>
    </row>
    <row r="17" customFormat="false" ht="15" hidden="false" customHeight="false" outlineLevel="0" collapsed="false">
      <c r="A17" s="14" t="n">
        <v>11</v>
      </c>
      <c r="B17" s="15" t="s">
        <v>119</v>
      </c>
      <c r="C17" s="14" t="s">
        <v>94</v>
      </c>
      <c r="D17" s="16"/>
      <c r="E17" s="15" t="s">
        <v>120</v>
      </c>
      <c r="F17" s="14" t="s">
        <v>96</v>
      </c>
      <c r="G17" s="14" t="s">
        <v>97</v>
      </c>
      <c r="H17" s="17" t="n">
        <f aca="false">D17*1.2</f>
        <v>0</v>
      </c>
    </row>
    <row r="18" customFormat="false" ht="15" hidden="false" customHeight="false" outlineLevel="0" collapsed="false">
      <c r="A18" s="36" t="n">
        <v>12</v>
      </c>
      <c r="B18" s="37" t="s">
        <v>121</v>
      </c>
      <c r="C18" s="36" t="s">
        <v>94</v>
      </c>
      <c r="D18" s="38"/>
      <c r="E18" s="37" t="s">
        <v>122</v>
      </c>
      <c r="F18" s="36" t="s">
        <v>113</v>
      </c>
      <c r="G18" s="36" t="s">
        <v>97</v>
      </c>
      <c r="H18" s="39" t="n">
        <f aca="false">D18*1.2</f>
        <v>0</v>
      </c>
    </row>
    <row r="19" customFormat="false" ht="36" hidden="false" customHeight="true" outlineLevel="0" collapsed="false">
      <c r="A19" s="14" t="n">
        <v>13</v>
      </c>
      <c r="B19" s="15" t="s">
        <v>123</v>
      </c>
      <c r="C19" s="14" t="s">
        <v>94</v>
      </c>
      <c r="D19" s="16"/>
      <c r="E19" s="15" t="s">
        <v>122</v>
      </c>
      <c r="F19" s="14" t="s">
        <v>113</v>
      </c>
      <c r="G19" s="14" t="s">
        <v>97</v>
      </c>
      <c r="H19" s="17" t="n">
        <f aca="false">D19*1.2</f>
        <v>0</v>
      </c>
    </row>
    <row r="20" customFormat="false" ht="28.35" hidden="false" customHeight="false" outlineLevel="0" collapsed="false">
      <c r="A20" s="36" t="n">
        <v>14</v>
      </c>
      <c r="B20" s="37" t="s">
        <v>124</v>
      </c>
      <c r="C20" s="36" t="s">
        <v>94</v>
      </c>
      <c r="D20" s="38"/>
      <c r="E20" s="37" t="s">
        <v>125</v>
      </c>
      <c r="F20" s="36" t="s">
        <v>96</v>
      </c>
      <c r="G20" s="36" t="s">
        <v>97</v>
      </c>
      <c r="H20" s="39" t="n">
        <f aca="false">D20*1.2</f>
        <v>0</v>
      </c>
    </row>
    <row r="21" customFormat="false" ht="28.35" hidden="false" customHeight="false" outlineLevel="0" collapsed="false">
      <c r="A21" s="14" t="n">
        <v>15</v>
      </c>
      <c r="B21" s="15" t="s">
        <v>126</v>
      </c>
      <c r="C21" s="14" t="s">
        <v>94</v>
      </c>
      <c r="D21" s="16"/>
      <c r="E21" s="15" t="s">
        <v>127</v>
      </c>
      <c r="F21" s="14" t="s">
        <v>113</v>
      </c>
      <c r="G21" s="14" t="s">
        <v>97</v>
      </c>
      <c r="H21" s="17" t="n">
        <f aca="false">D21*1.2</f>
        <v>0</v>
      </c>
    </row>
    <row r="22" customFormat="false" ht="36" hidden="false" customHeight="true" outlineLevel="0" collapsed="false">
      <c r="A22" s="36" t="n">
        <v>16</v>
      </c>
      <c r="B22" s="37" t="s">
        <v>128</v>
      </c>
      <c r="C22" s="36" t="s">
        <v>94</v>
      </c>
      <c r="D22" s="38"/>
      <c r="E22" s="37" t="s">
        <v>129</v>
      </c>
      <c r="F22" s="36" t="s">
        <v>130</v>
      </c>
      <c r="G22" s="36" t="s">
        <v>97</v>
      </c>
      <c r="H22" s="39" t="n">
        <f aca="false">D22*1.2</f>
        <v>0</v>
      </c>
    </row>
    <row r="23" customFormat="false" ht="15" hidden="false" customHeight="false" outlineLevel="0" collapsed="false">
      <c r="A23" s="14" t="n">
        <v>17</v>
      </c>
      <c r="B23" s="15" t="s">
        <v>131</v>
      </c>
      <c r="C23" s="14" t="s">
        <v>94</v>
      </c>
      <c r="D23" s="16"/>
      <c r="E23" s="15" t="s">
        <v>132</v>
      </c>
      <c r="F23" s="14" t="s">
        <v>130</v>
      </c>
      <c r="G23" s="14" t="s">
        <v>97</v>
      </c>
      <c r="H23" s="17" t="n">
        <f aca="false">D23*1.2</f>
        <v>0</v>
      </c>
    </row>
    <row r="24" customFormat="false" ht="15" hidden="false" customHeight="false" outlineLevel="0" collapsed="false">
      <c r="A24" s="36" t="n">
        <v>18</v>
      </c>
      <c r="B24" s="37" t="s">
        <v>133</v>
      </c>
      <c r="C24" s="36" t="s">
        <v>94</v>
      </c>
      <c r="D24" s="38"/>
      <c r="E24" s="37" t="s">
        <v>134</v>
      </c>
      <c r="F24" s="36" t="s">
        <v>130</v>
      </c>
      <c r="G24" s="36" t="s">
        <v>97</v>
      </c>
      <c r="H24" s="39" t="n">
        <f aca="false">D24*1.2</f>
        <v>0</v>
      </c>
    </row>
    <row r="25" customFormat="false" ht="28.35" hidden="false" customHeight="false" outlineLevel="0" collapsed="false">
      <c r="A25" s="14" t="n">
        <v>19</v>
      </c>
      <c r="B25" s="15" t="s">
        <v>135</v>
      </c>
      <c r="C25" s="14" t="s">
        <v>94</v>
      </c>
      <c r="D25" s="16"/>
      <c r="E25" s="15" t="s">
        <v>125</v>
      </c>
      <c r="F25" s="14" t="s">
        <v>136</v>
      </c>
      <c r="G25" s="14" t="s">
        <v>137</v>
      </c>
      <c r="H25" s="17" t="n">
        <f aca="false">D25*1.2</f>
        <v>0</v>
      </c>
    </row>
    <row r="26" customFormat="false" ht="28.35" hidden="false" customHeight="false" outlineLevel="0" collapsed="false">
      <c r="A26" s="36" t="n">
        <v>20</v>
      </c>
      <c r="B26" s="37" t="s">
        <v>138</v>
      </c>
      <c r="C26" s="36" t="s">
        <v>94</v>
      </c>
      <c r="D26" s="38"/>
      <c r="E26" s="37" t="s">
        <v>139</v>
      </c>
      <c r="F26" s="36" t="s">
        <v>96</v>
      </c>
      <c r="G26" s="36" t="s">
        <v>137</v>
      </c>
      <c r="H26" s="39" t="n">
        <f aca="false">D26*1.2</f>
        <v>0</v>
      </c>
    </row>
    <row r="27" customFormat="false" ht="15" hidden="false" customHeight="false" outlineLevel="0" collapsed="false">
      <c r="A27" s="14" t="n">
        <v>21</v>
      </c>
      <c r="B27" s="15" t="s">
        <v>140</v>
      </c>
      <c r="C27" s="14" t="s">
        <v>94</v>
      </c>
      <c r="D27" s="16"/>
      <c r="E27" s="15" t="s">
        <v>141</v>
      </c>
      <c r="F27" s="14" t="s">
        <v>136</v>
      </c>
      <c r="G27" s="14" t="s">
        <v>137</v>
      </c>
      <c r="H27" s="17" t="n">
        <f aca="false">D27*1.2</f>
        <v>0</v>
      </c>
    </row>
    <row r="28" customFormat="false" ht="28.35" hidden="false" customHeight="false" outlineLevel="0" collapsed="false">
      <c r="A28" s="36" t="n">
        <v>22</v>
      </c>
      <c r="B28" s="37" t="s">
        <v>142</v>
      </c>
      <c r="C28" s="36" t="s">
        <v>94</v>
      </c>
      <c r="D28" s="38"/>
      <c r="E28" s="37" t="s">
        <v>143</v>
      </c>
      <c r="F28" s="36" t="s">
        <v>136</v>
      </c>
      <c r="G28" s="36" t="s">
        <v>137</v>
      </c>
      <c r="H28" s="39" t="n">
        <f aca="false">D28*1.2</f>
        <v>0</v>
      </c>
    </row>
    <row r="29" customFormat="false" ht="28.35" hidden="false" customHeight="false" outlineLevel="0" collapsed="false">
      <c r="A29" s="14" t="n">
        <v>23</v>
      </c>
      <c r="B29" s="15" t="s">
        <v>144</v>
      </c>
      <c r="C29" s="14" t="s">
        <v>94</v>
      </c>
      <c r="D29" s="16"/>
      <c r="E29" s="15" t="s">
        <v>145</v>
      </c>
      <c r="F29" s="14" t="s">
        <v>136</v>
      </c>
      <c r="G29" s="14" t="s">
        <v>137</v>
      </c>
      <c r="H29" s="17" t="n">
        <f aca="false">D29*1.2</f>
        <v>0</v>
      </c>
    </row>
    <row r="30" customFormat="false" ht="15" hidden="false" customHeight="false" outlineLevel="0" collapsed="false">
      <c r="A30" s="36" t="n">
        <v>24</v>
      </c>
      <c r="B30" s="37" t="s">
        <v>146</v>
      </c>
      <c r="C30" s="36" t="s">
        <v>94</v>
      </c>
      <c r="D30" s="38"/>
      <c r="E30" s="37" t="s">
        <v>147</v>
      </c>
      <c r="F30" s="36" t="s">
        <v>136</v>
      </c>
      <c r="G30" s="36" t="s">
        <v>137</v>
      </c>
      <c r="H30" s="39" t="n">
        <f aca="false">D30*1.2</f>
        <v>0</v>
      </c>
    </row>
    <row r="31" customFormat="false" ht="28.35" hidden="false" customHeight="false" outlineLevel="0" collapsed="false">
      <c r="A31" s="14" t="n">
        <v>25</v>
      </c>
      <c r="B31" s="15" t="s">
        <v>148</v>
      </c>
      <c r="C31" s="14" t="s">
        <v>149</v>
      </c>
      <c r="D31" s="16"/>
      <c r="E31" s="15" t="s">
        <v>150</v>
      </c>
      <c r="F31" s="14" t="s">
        <v>151</v>
      </c>
      <c r="G31" s="14" t="s">
        <v>97</v>
      </c>
      <c r="H31" s="17" t="n">
        <f aca="false">D31*1.2</f>
        <v>0</v>
      </c>
    </row>
    <row r="32" customFormat="false" ht="15" hidden="false" customHeight="false" outlineLevel="0" collapsed="false">
      <c r="A32" s="36" t="n">
        <v>26</v>
      </c>
      <c r="B32" s="37" t="s">
        <v>152</v>
      </c>
      <c r="C32" s="36" t="s">
        <v>94</v>
      </c>
      <c r="D32" s="38"/>
      <c r="E32" s="37" t="s">
        <v>153</v>
      </c>
      <c r="F32" s="36" t="s">
        <v>151</v>
      </c>
      <c r="G32" s="36" t="s">
        <v>97</v>
      </c>
      <c r="H32" s="39" t="n">
        <f aca="false">D32*1.2</f>
        <v>0</v>
      </c>
    </row>
    <row r="33" customFormat="false" ht="15" hidden="false" customHeight="false" outlineLevel="0" collapsed="false">
      <c r="A33" s="14" t="n">
        <v>27</v>
      </c>
      <c r="B33" s="15" t="s">
        <v>154</v>
      </c>
      <c r="C33" s="14" t="s">
        <v>94</v>
      </c>
      <c r="D33" s="16"/>
      <c r="E33" s="15" t="s">
        <v>155</v>
      </c>
      <c r="F33" s="14" t="s">
        <v>151</v>
      </c>
      <c r="G33" s="14" t="s">
        <v>97</v>
      </c>
      <c r="H33" s="17" t="n">
        <f aca="false">D33*1.2</f>
        <v>0</v>
      </c>
    </row>
    <row r="34" customFormat="false" ht="15" hidden="false" customHeight="false" outlineLevel="0" collapsed="false">
      <c r="A34" s="22"/>
      <c r="B34" s="23" t="s">
        <v>156</v>
      </c>
      <c r="C34" s="22"/>
      <c r="D34" s="24" t="n">
        <f aca="false">SUM(D7:D33)</f>
        <v>0</v>
      </c>
      <c r="E34" s="25"/>
      <c r="F34" s="22"/>
      <c r="G34" s="22"/>
      <c r="H34" s="24" t="n">
        <f aca="false">SUM(H7:H33)</f>
        <v>0</v>
      </c>
    </row>
    <row r="36" customFormat="false" ht="3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21.75" hidden="false" customHeight="true" outlineLevel="0" collapsed="false">
      <c r="A37" s="9" t="s">
        <v>39</v>
      </c>
      <c r="B37" s="9"/>
      <c r="C37" s="9"/>
      <c r="D37" s="9"/>
      <c r="E37" s="9"/>
      <c r="F37" s="9"/>
      <c r="G37" s="9"/>
      <c r="H37" s="9"/>
    </row>
  </sheetData>
  <mergeCells count="4">
    <mergeCell ref="B1:H1"/>
    <mergeCell ref="A3:H3"/>
    <mergeCell ref="A4:H4"/>
    <mergeCell ref="A37:H37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9" min="6" style="0" width="14"/>
    <col collapsed="false" customWidth="true" hidden="false" outlineLevel="0" max="10" min="10" style="0" width="12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30" hidden="false" customHeight="true" outlineLevel="0" collapsed="false">
      <c r="A3" s="4" t="s">
        <v>157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1.75" hidden="false" customHeight="true" outlineLevel="0" collapsed="false">
      <c r="A4" s="5" t="s">
        <v>158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7.5" hidden="false" customHeight="true" outlineLevel="0" collapsed="false"/>
    <row r="6" customFormat="false" ht="42" hidden="false" customHeight="true" outlineLevel="0" collapsed="false">
      <c r="A6" s="13" t="s">
        <v>159</v>
      </c>
      <c r="B6" s="13" t="s">
        <v>47</v>
      </c>
      <c r="C6" s="13" t="s">
        <v>160</v>
      </c>
      <c r="D6" s="13" t="s">
        <v>161</v>
      </c>
      <c r="E6" s="13" t="s">
        <v>162</v>
      </c>
      <c r="F6" s="13" t="s">
        <v>163</v>
      </c>
      <c r="G6" s="13" t="s">
        <v>164</v>
      </c>
      <c r="H6" s="13" t="s">
        <v>165</v>
      </c>
      <c r="I6" s="13" t="s">
        <v>166</v>
      </c>
      <c r="J6" s="13" t="s">
        <v>167</v>
      </c>
    </row>
    <row r="7" customFormat="false" ht="28.35" hidden="false" customHeight="false" outlineLevel="0" collapsed="false">
      <c r="A7" s="14" t="s">
        <v>168</v>
      </c>
      <c r="B7" s="14" t="n">
        <v>1</v>
      </c>
      <c r="C7" s="15" t="s">
        <v>169</v>
      </c>
      <c r="D7" s="16"/>
      <c r="E7" s="15" t="s">
        <v>170</v>
      </c>
      <c r="F7" s="14" t="s">
        <v>94</v>
      </c>
      <c r="G7" s="29"/>
      <c r="H7" s="29"/>
      <c r="I7" s="29"/>
      <c r="J7" s="29"/>
    </row>
    <row r="8" customFormat="false" ht="15" hidden="false" customHeight="false" outlineLevel="0" collapsed="false">
      <c r="A8" s="14" t="s">
        <v>168</v>
      </c>
      <c r="B8" s="14" t="n">
        <v>2</v>
      </c>
      <c r="C8" s="15" t="s">
        <v>171</v>
      </c>
      <c r="D8" s="16"/>
      <c r="E8" s="15" t="s">
        <v>172</v>
      </c>
      <c r="F8" s="14" t="s">
        <v>94</v>
      </c>
      <c r="G8" s="29"/>
      <c r="H8" s="29"/>
      <c r="I8" s="29"/>
      <c r="J8" s="29"/>
    </row>
    <row r="9" customFormat="false" ht="28.35" hidden="false" customHeight="false" outlineLevel="0" collapsed="false">
      <c r="A9" s="14" t="s">
        <v>168</v>
      </c>
      <c r="B9" s="14" t="n">
        <v>3</v>
      </c>
      <c r="C9" s="15" t="s">
        <v>173</v>
      </c>
      <c r="D9" s="16"/>
      <c r="E9" s="15" t="s">
        <v>170</v>
      </c>
      <c r="F9" s="14" t="s">
        <v>94</v>
      </c>
      <c r="G9" s="29"/>
      <c r="H9" s="29"/>
      <c r="I9" s="29"/>
      <c r="J9" s="29"/>
    </row>
    <row r="10" customFormat="false" ht="15" hidden="false" customHeight="false" outlineLevel="0" collapsed="false">
      <c r="A10" s="14" t="s">
        <v>168</v>
      </c>
      <c r="B10" s="14" t="n">
        <v>4</v>
      </c>
      <c r="C10" s="15" t="s">
        <v>174</v>
      </c>
      <c r="D10" s="16"/>
      <c r="E10" s="15" t="s">
        <v>175</v>
      </c>
      <c r="F10" s="14" t="s">
        <v>94</v>
      </c>
      <c r="G10" s="29"/>
      <c r="H10" s="29"/>
      <c r="I10" s="29"/>
      <c r="J10" s="29"/>
    </row>
    <row r="11" customFormat="false" ht="15" hidden="false" customHeight="false" outlineLevel="0" collapsed="false">
      <c r="A11" s="14" t="s">
        <v>168</v>
      </c>
      <c r="B11" s="14" t="n">
        <v>5</v>
      </c>
      <c r="C11" s="15" t="s">
        <v>176</v>
      </c>
      <c r="D11" s="16"/>
      <c r="E11" s="15" t="s">
        <v>177</v>
      </c>
      <c r="F11" s="14" t="s">
        <v>94</v>
      </c>
      <c r="G11" s="29"/>
      <c r="H11" s="29"/>
      <c r="I11" s="29"/>
      <c r="J11" s="29"/>
    </row>
    <row r="12" customFormat="false" ht="15" hidden="false" customHeight="false" outlineLevel="0" collapsed="false">
      <c r="A12" s="14" t="s">
        <v>168</v>
      </c>
      <c r="B12" s="14" t="n">
        <v>6</v>
      </c>
      <c r="C12" s="15" t="s">
        <v>178</v>
      </c>
      <c r="D12" s="16"/>
      <c r="E12" s="15" t="s">
        <v>179</v>
      </c>
      <c r="F12" s="14" t="s">
        <v>94</v>
      </c>
      <c r="G12" s="29"/>
      <c r="H12" s="29"/>
      <c r="I12" s="29"/>
      <c r="J12" s="29"/>
    </row>
    <row r="13" customFormat="false" ht="15" hidden="false" customHeight="false" outlineLevel="0" collapsed="false">
      <c r="A13" s="14" t="s">
        <v>168</v>
      </c>
      <c r="B13" s="14" t="n">
        <v>7</v>
      </c>
      <c r="C13" s="15" t="s">
        <v>180</v>
      </c>
      <c r="D13" s="16"/>
      <c r="E13" s="15" t="s">
        <v>181</v>
      </c>
      <c r="F13" s="14" t="s">
        <v>94</v>
      </c>
      <c r="G13" s="29"/>
      <c r="H13" s="29"/>
      <c r="I13" s="29"/>
      <c r="J13" s="29"/>
    </row>
    <row r="14" customFormat="false" ht="15" hidden="false" customHeight="false" outlineLevel="0" collapsed="false">
      <c r="A14" s="14" t="s">
        <v>168</v>
      </c>
      <c r="B14" s="14" t="n">
        <v>8</v>
      </c>
      <c r="C14" s="15" t="s">
        <v>182</v>
      </c>
      <c r="D14" s="16"/>
      <c r="E14" s="15" t="s">
        <v>170</v>
      </c>
      <c r="F14" s="14" t="s">
        <v>94</v>
      </c>
      <c r="G14" s="29"/>
      <c r="H14" s="29"/>
      <c r="I14" s="29"/>
      <c r="J14" s="29"/>
    </row>
    <row r="15" customFormat="false" ht="15" hidden="false" customHeight="false" outlineLevel="0" collapsed="false">
      <c r="A15" s="14" t="s">
        <v>168</v>
      </c>
      <c r="B15" s="14" t="n">
        <v>9</v>
      </c>
      <c r="C15" s="15" t="s">
        <v>183</v>
      </c>
      <c r="D15" s="16"/>
      <c r="E15" s="15" t="s">
        <v>145</v>
      </c>
      <c r="F15" s="14" t="s">
        <v>94</v>
      </c>
      <c r="G15" s="29"/>
      <c r="H15" s="29"/>
      <c r="I15" s="29"/>
      <c r="J15" s="29"/>
    </row>
    <row r="16" customFormat="false" ht="15" hidden="false" customHeight="false" outlineLevel="0" collapsed="false">
      <c r="A16" s="14" t="s">
        <v>168</v>
      </c>
      <c r="B16" s="14" t="n">
        <v>10</v>
      </c>
      <c r="C16" s="15" t="s">
        <v>184</v>
      </c>
      <c r="D16" s="16"/>
      <c r="E16" s="15" t="s">
        <v>185</v>
      </c>
      <c r="F16" s="14" t="s">
        <v>94</v>
      </c>
      <c r="G16" s="29"/>
      <c r="H16" s="29"/>
      <c r="I16" s="29"/>
      <c r="J16" s="29"/>
    </row>
    <row r="17" customFormat="false" ht="15" hidden="false" customHeight="false" outlineLevel="0" collapsed="false">
      <c r="A17" s="14" t="s">
        <v>168</v>
      </c>
      <c r="B17" s="14" t="n">
        <v>11</v>
      </c>
      <c r="C17" s="15" t="s">
        <v>186</v>
      </c>
      <c r="D17" s="16"/>
      <c r="E17" s="15" t="s">
        <v>187</v>
      </c>
      <c r="F17" s="14" t="s">
        <v>94</v>
      </c>
      <c r="G17" s="29"/>
      <c r="H17" s="29"/>
      <c r="I17" s="29"/>
      <c r="J17" s="29"/>
    </row>
    <row r="18" customFormat="false" ht="28.35" hidden="false" customHeight="false" outlineLevel="0" collapsed="false">
      <c r="A18" s="14" t="s">
        <v>168</v>
      </c>
      <c r="B18" s="14" t="n">
        <v>12</v>
      </c>
      <c r="C18" s="15" t="s">
        <v>188</v>
      </c>
      <c r="D18" s="16"/>
      <c r="E18" s="15" t="s">
        <v>189</v>
      </c>
      <c r="F18" s="14" t="s">
        <v>94</v>
      </c>
      <c r="G18" s="29"/>
      <c r="H18" s="29"/>
      <c r="I18" s="29"/>
      <c r="J18" s="29"/>
    </row>
    <row r="19" customFormat="false" ht="15" hidden="false" customHeight="false" outlineLevel="0" collapsed="false">
      <c r="A19" s="14" t="s">
        <v>168</v>
      </c>
      <c r="B19" s="14" t="n">
        <v>13</v>
      </c>
      <c r="C19" s="15" t="s">
        <v>190</v>
      </c>
      <c r="D19" s="16"/>
      <c r="E19" s="15" t="s">
        <v>170</v>
      </c>
      <c r="F19" s="14" t="s">
        <v>94</v>
      </c>
      <c r="G19" s="29"/>
      <c r="H19" s="29"/>
      <c r="I19" s="29"/>
      <c r="J19" s="29"/>
    </row>
    <row r="20" customFormat="false" ht="15" hidden="false" customHeight="false" outlineLevel="0" collapsed="false">
      <c r="A20" s="14" t="s">
        <v>168</v>
      </c>
      <c r="B20" s="14" t="n">
        <v>14</v>
      </c>
      <c r="C20" s="15" t="s">
        <v>191</v>
      </c>
      <c r="D20" s="16"/>
      <c r="E20" s="15" t="s">
        <v>192</v>
      </c>
      <c r="F20" s="14" t="s">
        <v>94</v>
      </c>
      <c r="G20" s="29"/>
      <c r="H20" s="29"/>
      <c r="I20" s="29"/>
      <c r="J20" s="29"/>
    </row>
    <row r="21" customFormat="false" ht="15" hidden="false" customHeight="false" outlineLevel="0" collapsed="false">
      <c r="A21" s="40"/>
      <c r="B21" s="40"/>
      <c r="C21" s="23" t="s">
        <v>156</v>
      </c>
      <c r="D21" s="41" t="n">
        <f aca="false">SUM(D7:D20)</f>
        <v>0</v>
      </c>
      <c r="E21" s="40"/>
      <c r="F21" s="40"/>
      <c r="G21" s="40"/>
      <c r="H21" s="40"/>
      <c r="I21" s="40"/>
      <c r="J21" s="40"/>
    </row>
    <row r="23" customFormat="false" ht="3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21.75" hidden="false" customHeight="true" outlineLevel="0" collapsed="false">
      <c r="A24" s="9" t="s">
        <v>39</v>
      </c>
      <c r="B24" s="9"/>
      <c r="C24" s="9"/>
      <c r="D24" s="9"/>
      <c r="E24" s="9"/>
      <c r="F24" s="9"/>
      <c r="G24" s="9"/>
      <c r="H24" s="9"/>
      <c r="I24" s="9"/>
      <c r="J24" s="9"/>
    </row>
  </sheetData>
  <mergeCells count="4">
    <mergeCell ref="B1:J1"/>
    <mergeCell ref="A3:J3"/>
    <mergeCell ref="A4:J4"/>
    <mergeCell ref="A24:J24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8" min="6" style="0" width="14"/>
    <col collapsed="false" customWidth="true" hidden="false" outlineLevel="0" max="9" min="9" style="0" width="12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  <c r="F1" s="10"/>
      <c r="G1" s="10"/>
      <c r="H1" s="10"/>
      <c r="I1" s="10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193</v>
      </c>
      <c r="B3" s="4"/>
      <c r="C3" s="4"/>
      <c r="D3" s="4"/>
      <c r="E3" s="4"/>
      <c r="F3" s="4"/>
      <c r="G3" s="4"/>
      <c r="H3" s="4"/>
      <c r="I3" s="4"/>
    </row>
    <row r="4" customFormat="false" ht="21.75" hidden="false" customHeight="true" outlineLevel="0" collapsed="false">
      <c r="A4" s="5" t="s">
        <v>194</v>
      </c>
      <c r="B4" s="5"/>
      <c r="C4" s="5"/>
      <c r="D4" s="5"/>
      <c r="E4" s="5"/>
      <c r="F4" s="5"/>
      <c r="G4" s="5"/>
      <c r="H4" s="5"/>
      <c r="I4" s="5"/>
    </row>
    <row r="5" customFormat="false" ht="7.5" hidden="false" customHeight="true" outlineLevel="0" collapsed="false"/>
    <row r="6" customFormat="false" ht="42" hidden="false" customHeight="true" outlineLevel="0" collapsed="false">
      <c r="A6" s="13" t="s">
        <v>159</v>
      </c>
      <c r="B6" s="13" t="s">
        <v>47</v>
      </c>
      <c r="C6" s="13" t="s">
        <v>160</v>
      </c>
      <c r="D6" s="13" t="s">
        <v>161</v>
      </c>
      <c r="E6" s="13" t="s">
        <v>162</v>
      </c>
      <c r="F6" s="13" t="s">
        <v>163</v>
      </c>
      <c r="G6" s="13" t="s">
        <v>165</v>
      </c>
      <c r="H6" s="13" t="s">
        <v>166</v>
      </c>
      <c r="I6" s="13" t="s">
        <v>167</v>
      </c>
    </row>
    <row r="7" customFormat="false" ht="28.35" hidden="false" customHeight="false" outlineLevel="0" collapsed="false">
      <c r="A7" s="14" t="s">
        <v>195</v>
      </c>
      <c r="B7" s="14" t="n">
        <v>1</v>
      </c>
      <c r="C7" s="15" t="s">
        <v>196</v>
      </c>
      <c r="D7" s="16"/>
      <c r="E7" s="15" t="s">
        <v>197</v>
      </c>
      <c r="F7" s="14" t="s">
        <v>149</v>
      </c>
      <c r="G7" s="29"/>
      <c r="H7" s="29"/>
      <c r="I7" s="29"/>
    </row>
    <row r="8" customFormat="false" ht="15" hidden="false" customHeight="false" outlineLevel="0" collapsed="false">
      <c r="A8" s="14" t="s">
        <v>195</v>
      </c>
      <c r="B8" s="14" t="n">
        <v>2</v>
      </c>
      <c r="C8" s="15" t="s">
        <v>198</v>
      </c>
      <c r="D8" s="16"/>
      <c r="E8" s="15" t="s">
        <v>199</v>
      </c>
      <c r="F8" s="14" t="s">
        <v>149</v>
      </c>
      <c r="G8" s="29"/>
      <c r="H8" s="29"/>
      <c r="I8" s="29"/>
    </row>
    <row r="9" customFormat="false" ht="15" hidden="false" customHeight="false" outlineLevel="0" collapsed="false">
      <c r="A9" s="14" t="s">
        <v>195</v>
      </c>
      <c r="B9" s="14" t="n">
        <v>3</v>
      </c>
      <c r="C9" s="15" t="s">
        <v>200</v>
      </c>
      <c r="D9" s="16"/>
      <c r="E9" s="15" t="s">
        <v>201</v>
      </c>
      <c r="F9" s="14" t="s">
        <v>94</v>
      </c>
      <c r="G9" s="29"/>
      <c r="H9" s="29"/>
      <c r="I9" s="29"/>
    </row>
    <row r="10" customFormat="false" ht="15" hidden="false" customHeight="false" outlineLevel="0" collapsed="false">
      <c r="A10" s="14" t="s">
        <v>195</v>
      </c>
      <c r="B10" s="14" t="n">
        <v>4</v>
      </c>
      <c r="C10" s="15" t="s">
        <v>202</v>
      </c>
      <c r="D10" s="16"/>
      <c r="E10" s="15" t="s">
        <v>203</v>
      </c>
      <c r="F10" s="14" t="s">
        <v>94</v>
      </c>
      <c r="G10" s="29"/>
      <c r="H10" s="29"/>
      <c r="I10" s="29"/>
    </row>
    <row r="11" customFormat="false" ht="15" hidden="false" customHeight="false" outlineLevel="0" collapsed="false">
      <c r="A11" s="14" t="s">
        <v>195</v>
      </c>
      <c r="B11" s="14" t="n">
        <v>5</v>
      </c>
      <c r="C11" s="15" t="s">
        <v>204</v>
      </c>
      <c r="D11" s="16"/>
      <c r="E11" s="15" t="s">
        <v>205</v>
      </c>
      <c r="F11" s="14" t="s">
        <v>94</v>
      </c>
      <c r="G11" s="29"/>
      <c r="H11" s="29"/>
      <c r="I11" s="29"/>
    </row>
    <row r="12" customFormat="false" ht="15" hidden="false" customHeight="false" outlineLevel="0" collapsed="false">
      <c r="A12" s="14" t="s">
        <v>195</v>
      </c>
      <c r="B12" s="14" t="n">
        <v>6</v>
      </c>
      <c r="C12" s="15" t="s">
        <v>154</v>
      </c>
      <c r="D12" s="16"/>
      <c r="E12" s="15" t="s">
        <v>206</v>
      </c>
      <c r="F12" s="14" t="s">
        <v>94</v>
      </c>
      <c r="G12" s="29"/>
      <c r="H12" s="29"/>
      <c r="I12" s="29"/>
    </row>
    <row r="13" customFormat="false" ht="15" hidden="false" customHeight="false" outlineLevel="0" collapsed="false">
      <c r="A13" s="14" t="s">
        <v>195</v>
      </c>
      <c r="B13" s="14" t="n">
        <v>7</v>
      </c>
      <c r="C13" s="15" t="s">
        <v>207</v>
      </c>
      <c r="D13" s="16"/>
      <c r="E13" s="15" t="s">
        <v>208</v>
      </c>
      <c r="F13" s="14" t="s">
        <v>94</v>
      </c>
      <c r="G13" s="29"/>
      <c r="H13" s="29"/>
      <c r="I13" s="29"/>
    </row>
    <row r="14" customFormat="false" ht="15" hidden="false" customHeight="false" outlineLevel="0" collapsed="false">
      <c r="A14" s="14" t="s">
        <v>195</v>
      </c>
      <c r="B14" s="14" t="n">
        <v>8</v>
      </c>
      <c r="C14" s="15" t="s">
        <v>209</v>
      </c>
      <c r="D14" s="16"/>
      <c r="E14" s="15" t="s">
        <v>210</v>
      </c>
      <c r="F14" s="14" t="s">
        <v>94</v>
      </c>
      <c r="G14" s="29"/>
      <c r="H14" s="29"/>
      <c r="I14" s="29"/>
    </row>
    <row r="15" customFormat="false" ht="15" hidden="false" customHeight="false" outlineLevel="0" collapsed="false">
      <c r="A15" s="14" t="s">
        <v>195</v>
      </c>
      <c r="B15" s="14" t="n">
        <v>9</v>
      </c>
      <c r="C15" s="15" t="s">
        <v>211</v>
      </c>
      <c r="D15" s="16"/>
      <c r="E15" s="15" t="s">
        <v>212</v>
      </c>
      <c r="F15" s="14" t="s">
        <v>94</v>
      </c>
      <c r="G15" s="29"/>
      <c r="H15" s="29"/>
      <c r="I15" s="29"/>
    </row>
    <row r="16" customFormat="false" ht="15" hidden="false" customHeight="false" outlineLevel="0" collapsed="false">
      <c r="A16" s="40"/>
      <c r="B16" s="40"/>
      <c r="C16" s="23" t="s">
        <v>156</v>
      </c>
      <c r="D16" s="41" t="n">
        <f aca="false">SUM(D7:D15)</f>
        <v>0</v>
      </c>
      <c r="E16" s="40"/>
      <c r="F16" s="40"/>
      <c r="G16" s="40"/>
      <c r="H16" s="40"/>
      <c r="I16" s="40"/>
    </row>
    <row r="18" customFormat="false" ht="3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21.75" hidden="false" customHeight="true" outlineLevel="0" collapsed="false">
      <c r="A19" s="9" t="s">
        <v>39</v>
      </c>
      <c r="B19" s="9"/>
      <c r="C19" s="9"/>
      <c r="D19" s="9"/>
      <c r="E19" s="9"/>
      <c r="F19" s="9"/>
      <c r="G19" s="9"/>
      <c r="H19" s="9"/>
      <c r="I19" s="9"/>
    </row>
  </sheetData>
  <mergeCells count="4">
    <mergeCell ref="B1:I1"/>
    <mergeCell ref="A3:I3"/>
    <mergeCell ref="A4:I4"/>
    <mergeCell ref="A19:I19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</row>
    <row r="2" customFormat="false" ht="3.75" hidden="false" customHeight="true" outlineLevel="0" collapsed="false">
      <c r="A2" s="3"/>
      <c r="B2" s="3"/>
      <c r="C2" s="3"/>
      <c r="D2" s="3"/>
      <c r="E2" s="3"/>
    </row>
    <row r="3" customFormat="false" ht="30" hidden="false" customHeight="true" outlineLevel="0" collapsed="false">
      <c r="A3" s="4" t="s">
        <v>213</v>
      </c>
      <c r="B3" s="4"/>
      <c r="C3" s="4"/>
      <c r="D3" s="4"/>
      <c r="E3" s="4"/>
    </row>
    <row r="4" customFormat="false" ht="21.75" hidden="false" customHeight="true" outlineLevel="0" collapsed="false">
      <c r="A4" s="5" t="s">
        <v>214</v>
      </c>
      <c r="B4" s="5"/>
      <c r="C4" s="5"/>
      <c r="D4" s="5"/>
      <c r="E4" s="5"/>
    </row>
    <row r="5" customFormat="false" ht="7.5" hidden="false" customHeight="true" outlineLevel="0" collapsed="false"/>
    <row r="6" customFormat="false" ht="36" hidden="false" customHeight="true" outlineLevel="0" collapsed="false">
      <c r="A6" s="13" t="s">
        <v>47</v>
      </c>
      <c r="B6" s="13" t="s">
        <v>90</v>
      </c>
      <c r="C6" s="13" t="s">
        <v>215</v>
      </c>
      <c r="D6" s="13" t="s">
        <v>216</v>
      </c>
      <c r="E6" s="13" t="s">
        <v>217</v>
      </c>
    </row>
    <row r="7" customFormat="false" ht="15" hidden="false" customHeight="false" outlineLevel="0" collapsed="false">
      <c r="A7" s="14" t="n">
        <v>1</v>
      </c>
      <c r="B7" s="15" t="s">
        <v>218</v>
      </c>
      <c r="C7" s="16"/>
      <c r="D7" s="16"/>
      <c r="E7" s="17" t="n">
        <f aca="false">C7+D7</f>
        <v>0</v>
      </c>
    </row>
    <row r="8" customFormat="false" ht="15" hidden="false" customHeight="false" outlineLevel="0" collapsed="false">
      <c r="A8" s="14" t="n">
        <v>2</v>
      </c>
      <c r="B8" s="15" t="s">
        <v>219</v>
      </c>
      <c r="C8" s="16"/>
      <c r="D8" s="16"/>
      <c r="E8" s="17" t="n">
        <f aca="false">C8+D8</f>
        <v>0</v>
      </c>
    </row>
    <row r="9" customFormat="false" ht="15" hidden="false" customHeight="false" outlineLevel="0" collapsed="false">
      <c r="A9" s="14" t="n">
        <v>3</v>
      </c>
      <c r="B9" s="15" t="s">
        <v>110</v>
      </c>
      <c r="C9" s="16"/>
      <c r="D9" s="16"/>
      <c r="E9" s="17" t="n">
        <f aca="false">C9+D9</f>
        <v>0</v>
      </c>
    </row>
    <row r="10" customFormat="false" ht="15" hidden="false" customHeight="false" outlineLevel="0" collapsed="false">
      <c r="A10" s="14" t="n">
        <v>4</v>
      </c>
      <c r="B10" s="15" t="s">
        <v>96</v>
      </c>
      <c r="C10" s="16"/>
      <c r="D10" s="16"/>
      <c r="E10" s="17" t="n">
        <f aca="false">C10+D10</f>
        <v>0</v>
      </c>
    </row>
    <row r="11" customFormat="false" ht="15" hidden="false" customHeight="false" outlineLevel="0" collapsed="false">
      <c r="A11" s="14" t="n">
        <v>5</v>
      </c>
      <c r="B11" s="15" t="s">
        <v>151</v>
      </c>
      <c r="C11" s="16"/>
      <c r="D11" s="16"/>
      <c r="E11" s="17" t="n">
        <f aca="false">C11+D11</f>
        <v>0</v>
      </c>
    </row>
    <row r="12" customFormat="false" ht="15" hidden="false" customHeight="false" outlineLevel="0" collapsed="false">
      <c r="A12" s="14" t="n">
        <v>6</v>
      </c>
      <c r="B12" s="15" t="s">
        <v>220</v>
      </c>
      <c r="C12" s="16"/>
      <c r="D12" s="16"/>
      <c r="E12" s="17" t="n">
        <f aca="false">C12+D12</f>
        <v>0</v>
      </c>
    </row>
    <row r="13" customFormat="false" ht="15" hidden="false" customHeight="false" outlineLevel="0" collapsed="false">
      <c r="A13" s="14" t="n">
        <v>7</v>
      </c>
      <c r="B13" s="15" t="s">
        <v>221</v>
      </c>
      <c r="C13" s="16"/>
      <c r="D13" s="16"/>
      <c r="E13" s="17" t="n">
        <f aca="false">C13+D13</f>
        <v>0</v>
      </c>
    </row>
    <row r="14" customFormat="false" ht="15" hidden="false" customHeight="false" outlineLevel="0" collapsed="false">
      <c r="A14" s="14" t="n">
        <v>8</v>
      </c>
      <c r="B14" s="15" t="s">
        <v>222</v>
      </c>
      <c r="C14" s="16"/>
      <c r="D14" s="16"/>
      <c r="E14" s="17" t="n">
        <f aca="false">C14+D14</f>
        <v>0</v>
      </c>
    </row>
    <row r="15" customFormat="false" ht="15" hidden="false" customHeight="false" outlineLevel="0" collapsed="false">
      <c r="A15" s="14" t="n">
        <v>9</v>
      </c>
      <c r="B15" s="15" t="s">
        <v>223</v>
      </c>
      <c r="C15" s="16"/>
      <c r="D15" s="16"/>
      <c r="E15" s="17" t="n">
        <f aca="false">C15+D15</f>
        <v>0</v>
      </c>
    </row>
    <row r="16" customFormat="false" ht="15" hidden="false" customHeight="false" outlineLevel="0" collapsed="false">
      <c r="A16" s="14" t="n">
        <v>10</v>
      </c>
      <c r="B16" s="15" t="s">
        <v>224</v>
      </c>
      <c r="C16" s="16"/>
      <c r="D16" s="16"/>
      <c r="E16" s="17" t="n">
        <f aca="false">C16+D16</f>
        <v>0</v>
      </c>
    </row>
    <row r="17" customFormat="false" ht="15" hidden="false" customHeight="false" outlineLevel="0" collapsed="false">
      <c r="A17" s="40"/>
      <c r="B17" s="23" t="s">
        <v>156</v>
      </c>
      <c r="C17" s="41" t="n">
        <f aca="false">SUM(C7:C16)</f>
        <v>0</v>
      </c>
      <c r="D17" s="41" t="n">
        <f aca="false">SUM(D7:D16)</f>
        <v>0</v>
      </c>
      <c r="E17" s="41" t="n">
        <f aca="false">SUM(E7:E16)</f>
        <v>0</v>
      </c>
    </row>
    <row r="19" customFormat="false" ht="3.75" hidden="false" customHeight="true" outlineLevel="0" collapsed="false">
      <c r="A19" s="3"/>
      <c r="B19" s="3"/>
      <c r="C19" s="3"/>
      <c r="D19" s="3"/>
      <c r="E19" s="3"/>
    </row>
    <row r="20" customFormat="false" ht="21.75" hidden="false" customHeight="true" outlineLevel="0" collapsed="false">
      <c r="A20" s="9" t="s">
        <v>39</v>
      </c>
      <c r="B20" s="9"/>
      <c r="C20" s="9"/>
      <c r="D20" s="9"/>
      <c r="E20" s="9"/>
    </row>
  </sheetData>
  <mergeCells count="4">
    <mergeCell ref="B1:E1"/>
    <mergeCell ref="A3:E3"/>
    <mergeCell ref="A4:E4"/>
    <mergeCell ref="A20:E20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2026-04-17T16:51:55Z</dcterms:created>
  <dc:creator>openpyxl</dc:creator>
  <dc:description/>
  <dc:language>en-US</dc:language>
  <cp:lastModifiedBy/>
  <dcterms:modified xsi:type="dcterms:W3CDTF">2026-04-17T16:51:55Z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