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3.xml.rels" ContentType="application/vnd.openxmlformats-package.relationships+xml"/>
  <Override PartName="/xl/drawings/_rels/drawing2.xml.rels" ContentType="application/vnd.openxmlformats-package.relationships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_rels/workbook.xml.rels" ContentType="application/vnd.openxmlformats-package.relationships+xml"/>
  <Override PartName="/xl/media/image1.png" ContentType="image/png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tions" sheetId="1" state="visible" r:id="rId3"/>
    <sheet name="Annual Budget" sheetId="2" state="visible" r:id="rId4"/>
    <sheet name="Summar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<sst xmlns="http://schemas.openxmlformats.org/spreadsheetml/2006/main" count="442" uniqueCount="364">
  <si>
    <t xml:space="preserve">VKS TECH
Operational Excellence   |   vkstech.com</t>
  </si>
  <si>
    <t xml:space="preserve">HOW TO USE THIS FORMAT</t>
  </si>
  <si>
    <t xml:space="preserve">Format B — Detailed Line-Item Budget</t>
  </si>
  <si>
    <t xml:space="preserve">WHEN TO USE FORMAT B</t>
  </si>
  <si>
    <t xml:space="preserve">Detail-first budget</t>
  </si>
  <si>
    <t xml:space="preserve">Use this when you want to build the budget bottom-up from individual part numbers and quantities, rather than top-down from category totals.</t>
  </si>
  <si>
    <t xml:space="preserve">High-stakes approvals</t>
  </si>
  <si>
    <t xml:space="preserve">Senior finance / CEO-level approvals usually ask "show me the line items" — Format B answers that without a separate document.</t>
  </si>
  <si>
    <t xml:space="preserve">New line / new machine</t>
  </si>
  <si>
    <t xml:space="preserve">When a machine is new and there is no prior history to benchmark, line-item quantities + rates are the only defensible way to arrive at a number.</t>
  </si>
  <si>
    <t xml:space="preserve">STEP-BY-STEP</t>
  </si>
  <si>
    <t xml:space="preserve">1. Fill header</t>
  </si>
  <si>
    <t xml:space="preserve">Enter plant, machine model, FY, prepared-by, approved-by.</t>
  </si>
  <si>
    <t xml:space="preserve">2. Fill quantities (column E)</t>
  </si>
  <si>
    <t xml:space="preserve">For each line, enter your honest annual quantity based on shift-count, production hours, or PM schedule.</t>
  </si>
  <si>
    <t xml:space="preserve">3. Fill rates (column F)</t>
  </si>
  <si>
    <t xml:space="preserve">Use latest vendor quote or last PO rate. If multiple vendors, use the median.</t>
  </si>
  <si>
    <t xml:space="preserve">4. Let amount auto-calculate</t>
  </si>
  <si>
    <t xml:space="preserve">Column G = E × F. Do not overwrite.</t>
  </si>
  <si>
    <t xml:space="preserve">5. Fill "Actual Last FY" (column H)</t>
  </si>
  <si>
    <t xml:space="preserve">From SAP/ERP cost-centre dump. Leave blank if unknown.</t>
  </si>
  <si>
    <t xml:space="preserve">6. Review category sub-totals</t>
  </si>
  <si>
    <t xml:space="preserve">Each of the 11 sections (A–K) has a sub-total — scan for anything out of line.</t>
  </si>
  <si>
    <t xml:space="preserve">7. Grand Total + Per machine/month</t>
  </si>
  <si>
    <t xml:space="preserve">Auto-calculated at the bottom. Use per-machine figure to compare across lines.</t>
  </si>
  <si>
    <t xml:space="preserve">8. Jump to Summary sheet</t>
  </si>
  <si>
    <t xml:space="preserve">Category breakdown + % of total is pre-built for your pitch.</t>
  </si>
  <si>
    <t xml:space="preserve">COLOUR CODE</t>
  </si>
  <si>
    <t xml:space="preserve">Blue text + light-blue fill</t>
  </si>
  <si>
    <t xml:space="preserve">INPUT cells — you fill these (quantity, rate, actual last FY).</t>
  </si>
  <si>
    <t xml:space="preserve">Black text</t>
  </si>
  <si>
    <t xml:space="preserve">FORMULA cells — calculated automatically.</t>
  </si>
  <si>
    <t xml:space="preserve">Navy / Teal / Orange fill</t>
  </si>
  <si>
    <t xml:space="preserve">Headers / category bands / totals — do not overwrite.</t>
  </si>
  <si>
    <t xml:space="preserve">SUBSTITUTIONS &amp; GENERIC NAMING</t>
  </si>
  <si>
    <t xml:space="preserve">All brand names are examples only</t>
  </si>
  <si>
    <t xml:space="preserve">The "(e.g. Brand-X / Brand-Y)" format shows common substitutes — use whichever your plant has installed.</t>
  </si>
  <si>
    <t xml:space="preserve">Vacuum-pump generics</t>
  </si>
  <si>
    <t xml:space="preserve">Dry-screw, Roots booster, Rotary-vane, Diffusion are the four generic types. Pick the correct generic row, then write your actual brand in column C.</t>
  </si>
  <si>
    <t xml:space="preserve">Oil generics</t>
  </si>
  <si>
    <t xml:space="preserve">DP oil (silicone), Rotary oil (mineral/diester), Booster oil (synthetic), Glycol (coolant). Keep the generic description; put brand + grade in column C.</t>
  </si>
  <si>
    <t xml:space="preserve">TIPS</t>
  </si>
  <si>
    <t xml:space="preserve">One row per SKU / part code</t>
  </si>
  <si>
    <t xml:space="preserve">If a spare has 3 sizes, that is 3 rows — easier for procurement later.</t>
  </si>
  <si>
    <t xml:space="preserve">Quarterly review</t>
  </si>
  <si>
    <t xml:space="preserve">Freeze the budget annually but review consumption quarterly. Adjust quantities, not rates, mid-year.</t>
  </si>
  <si>
    <t xml:space="preserve">Contingency 5%</t>
  </si>
  <si>
    <t xml:space="preserve">Section K has a 5% contingency placeholder that auto-calculates. Keep it — it prevents panic during unplanned breakdowns.</t>
  </si>
  <si>
    <t xml:space="preserve">Per-machine cost</t>
  </si>
  <si>
    <t xml:space="preserve">Last block divides total by number of machines. Use it to benchmark between your own lines or against an OEM reference.</t>
  </si>
  <si>
    <t xml:space="preserve">VKS TECH — Operational Excellence   |   vkstech.com   |   Shop-Floor Finance Series</t>
  </si>
  <si>
    <t xml:space="preserve">ANNUAL MAINTENANCE BUDGET — VACUUM METALLISER (GENERIC FORMAT)</t>
  </si>
  <si>
    <t xml:space="preserve">11 categories × 76 line items   |   Bottom-up, brand-neutral, approval-ready</t>
  </si>
  <si>
    <t xml:space="preserve">Plant:</t>
  </si>
  <si>
    <t xml:space="preserve">__________</t>
  </si>
  <si>
    <t xml:space="preserve">Machine Model:</t>
  </si>
  <si>
    <t xml:space="preserve">FY:</t>
  </si>
  <si>
    <t xml:space="preserve">Prepared by:</t>
  </si>
  <si>
    <t xml:space="preserve">Approved by: __________</t>
  </si>
  <si>
    <t xml:space="preserve">Sr.</t>
  </si>
  <si>
    <t xml:space="preserve">Item Description</t>
  </si>
  <si>
    <t xml:space="preserve">Specification / Example Brands</t>
  </si>
  <si>
    <t xml:space="preserve">UOM</t>
  </si>
  <si>
    <t xml:space="preserve">Qty/Year</t>
  </si>
  <si>
    <t xml:space="preserve">Rate (₹)</t>
  </si>
  <si>
    <t xml:space="preserve">Amount (₹)</t>
  </si>
  <si>
    <t xml:space="preserve">Actual Last FY (₹)</t>
  </si>
  <si>
    <t xml:space="preserve">Remarks</t>
  </si>
  <si>
    <t xml:space="preserve">A.  CONSUMABLES — EVAPORATION SYSTEM</t>
  </si>
  <si>
    <t xml:space="preserve">Ceramic Evaporation Boats</t>
  </si>
  <si>
    <t xml:space="preserve">BN / TiB₂ composite — standard OEM size</t>
  </si>
  <si>
    <t xml:space="preserve">Nos</t>
  </si>
  <si>
    <t xml:space="preserve">Boat life 8–24 hrs; ~2–3 per shift</t>
  </si>
  <si>
    <t xml:space="preserve">Aluminium Wire 1.5mm (99.99% pure)</t>
  </si>
  <si>
    <t xml:space="preserve">4N purity — e.g. ALCAN / Fenglu / generic equivalent</t>
  </si>
  <si>
    <t xml:space="preserve">Kg</t>
  </si>
  <si>
    <t xml:space="preserve">~1000 kg/month; check CoA each lot</t>
  </si>
  <si>
    <t xml:space="preserve">Aluminium Wire 2.0mm (high-OD grade)</t>
  </si>
  <si>
    <t xml:space="preserve">4N purity — e.g. AlBond / Vijay Metal / generic</t>
  </si>
  <si>
    <t xml:space="preserve">High OD / AlBond products</t>
  </si>
  <si>
    <t xml:space="preserve">Graphite Tape</t>
  </si>
  <si>
    <t xml:space="preserve">Boat-to-copper contact strip — generic</t>
  </si>
  <si>
    <t xml:space="preserve">Rolls</t>
  </si>
  <si>
    <t xml:space="preserve">~2 rolls/month</t>
  </si>
  <si>
    <t xml:space="preserve">Boron Nitride Spray</t>
  </si>
  <si>
    <t xml:space="preserve">Shield release agent — e.g. ZYP / MT / generic</t>
  </si>
  <si>
    <t xml:space="preserve">Cans</t>
  </si>
  <si>
    <t xml:space="preserve">~3 cans/month</t>
  </si>
  <si>
    <t xml:space="preserve">Wire Feeder Pressure Springs</t>
  </si>
  <si>
    <t xml:space="preserve">Pressure-roller springs — generic OEM</t>
  </si>
  <si>
    <t xml:space="preserve">Sets</t>
  </si>
  <si>
    <t xml:space="preserve">Monthly replacement — critical PM</t>
  </si>
  <si>
    <t xml:space="preserve">Wire Feeder Guide Spouts</t>
  </si>
  <si>
    <t xml:space="preserve">Wear-item guide nozzle — generic OEM</t>
  </si>
  <si>
    <t xml:space="preserve">Monthly replacement</t>
  </si>
  <si>
    <t xml:space="preserve">Wire Feeder Drive Wheels</t>
  </si>
  <si>
    <t xml:space="preserve">Grooved wheel — 3 positions per wheel</t>
  </si>
  <si>
    <t xml:space="preserve">Rotate groove monthly; replace when all 3 worn</t>
  </si>
  <si>
    <t xml:space="preserve">    SUBTOTAL — A. CONSUMABLES — EVAPORATION SYSTEM</t>
  </si>
  <si>
    <t xml:space="preserve">B.  VACUUM SYSTEM — CONSUMABLES &amp; OILS</t>
  </si>
  <si>
    <t xml:space="preserve">Chamber Door O-Ring (Main Seal)</t>
  </si>
  <si>
    <t xml:space="preserve">Viton — machine-specific size</t>
  </si>
  <si>
    <t xml:space="preserve">Replace on damage; inspect every cycle</t>
  </si>
  <si>
    <t xml:space="preserve">Window / Port O-Rings</t>
  </si>
  <si>
    <t xml:space="preserve">Viton — various sizes</t>
  </si>
  <si>
    <t xml:space="preserve">Set</t>
  </si>
  <si>
    <t xml:space="preserve">Monthly inspection</t>
  </si>
  <si>
    <t xml:space="preserve">Feed-through O-Rings</t>
  </si>
  <si>
    <t xml:space="preserve">Water / electrical feed-through — Viton</t>
  </si>
  <si>
    <t xml:space="preserve">Replace on leak detection</t>
  </si>
  <si>
    <t xml:space="preserve">Vacuum Grease (silicone)</t>
  </si>
  <si>
    <t xml:space="preserve">e.g. Dow Corning / Apiezon L / generic</t>
  </si>
  <si>
    <t xml:space="preserve">Tubes</t>
  </si>
  <si>
    <t xml:space="preserve">For O-ring lubrication only</t>
  </si>
  <si>
    <t xml:space="preserve">Dry-Screw Pump Oil</t>
  </si>
  <si>
    <t xml:space="preserve">Diester-base ISO-VG 100 — e.g. Busch VE 101 / Leybold LVO 210 / Edwards 15 / generic</t>
  </si>
  <si>
    <t xml:space="preserve">Litres</t>
  </si>
  <si>
    <t xml:space="preserve">~2 L per machine × 2 changes/year</t>
  </si>
  <si>
    <t xml:space="preserve">Dry-Screw Pump Coolant</t>
  </si>
  <si>
    <t xml:space="preserve">40% glycol + 60% water ready-mix — OEM spec</t>
  </si>
  <si>
    <t xml:space="preserve">~29 L per machine; annual change</t>
  </si>
  <si>
    <t xml:space="preserve">Roots Booster Pump Oil</t>
  </si>
  <si>
    <t xml:space="preserve">Synthetic lubricant — e.g. Anderol 555 / Aerzen / generic</t>
  </si>
  <si>
    <t xml:space="preserve">5000-hr service interval</t>
  </si>
  <si>
    <t xml:space="preserve">Diffusion Pump Oil</t>
  </si>
  <si>
    <t xml:space="preserve">High-vacuum silicone — e.g. Santovac 5 / Dow 704 / 705 / CVC-Si-4 / generic</t>
  </si>
  <si>
    <t xml:space="preserve">~4–5 L per DP; annual change</t>
  </si>
  <si>
    <t xml:space="preserve">Rotary-Vane Pump Oil</t>
  </si>
  <si>
    <t xml:space="preserve">Mineral / semi-synthetic — e.g. Busch R530 / Leybold LVO 108 / Edwards 19 / generic</t>
  </si>
  <si>
    <t xml:space="preserve">Per PM schedule</t>
  </si>
  <si>
    <t xml:space="preserve">Pump Inlet Filter Element</t>
  </si>
  <si>
    <t xml:space="preserve">Replacement filter — generic OEM</t>
  </si>
  <si>
    <t xml:space="preserve">Quarterly replacement</t>
  </si>
  <si>
    <t xml:space="preserve">Exhaust Oil-Mist Filter Element</t>
  </si>
  <si>
    <t xml:space="preserve">Atomuffler-type — generic OEM</t>
  </si>
  <si>
    <t xml:space="preserve">    SUBTOTAL — B. VACUUM SYSTEM — CONSUMABLES &amp; OILS</t>
  </si>
  <si>
    <t xml:space="preserve">C.  COOLING SYSTEM</t>
  </si>
  <si>
    <t xml:space="preserve">Ethylene Glycol (chiller concentrate)</t>
  </si>
  <si>
    <t xml:space="preserve">Industrial coolant — generic</t>
  </si>
  <si>
    <t xml:space="preserve">50% concentration; SG 1.080 at 20 °C</t>
  </si>
  <si>
    <t xml:space="preserve">Y-Strainer Mesh Screen</t>
  </si>
  <si>
    <t xml:space="preserve">Main water-supply filter — stainless</t>
  </si>
  <si>
    <t xml:space="preserve">Clean monthly; replace if damaged</t>
  </si>
  <si>
    <t xml:space="preserve">Chiller Refrigerant (top-up)</t>
  </si>
  <si>
    <t xml:space="preserve">R407C / R410A or per OEM</t>
  </si>
  <si>
    <t xml:space="preserve">Only if leak detected</t>
  </si>
  <si>
    <t xml:space="preserve">Cooling Tower Chemicals</t>
  </si>
  <si>
    <t xml:space="preserve">Biocide + anti-scale — generic</t>
  </si>
  <si>
    <t xml:space="preserve">Lot</t>
  </si>
  <si>
    <t xml:space="preserve">Monthly dosing</t>
  </si>
  <si>
    <t xml:space="preserve">Rotary Union Seal Kit</t>
  </si>
  <si>
    <t xml:space="preserve">Chill-drum water connection — e.g. Deublin / Duff-Norton / generic</t>
  </si>
  <si>
    <t xml:space="preserve">Kit</t>
  </si>
  <si>
    <t xml:space="preserve">Replace on leak</t>
  </si>
  <si>
    <t xml:space="preserve">    SUBTOTAL — C. COOLING SYSTEM</t>
  </si>
  <si>
    <t xml:space="preserve">D.  WINDING SYSTEM</t>
  </si>
  <si>
    <t xml:space="preserve">Spreader Roller Rubber Sleeve</t>
  </si>
  <si>
    <t xml:space="preserve">Bow-roller cover — e.g. Kickert / Mount Hope / generic</t>
  </si>
  <si>
    <t xml:space="preserve">Replace when worn / cracked</t>
  </si>
  <si>
    <t xml:space="preserve">Nip Roller Re-rubberisation</t>
  </si>
  <si>
    <t xml:space="preserve">Rewind nip — generic re-rubber service</t>
  </si>
  <si>
    <t xml:space="preserve">Annual or on damage</t>
  </si>
  <si>
    <t xml:space="preserve">Expanding Shaft Springs / Keys</t>
  </si>
  <si>
    <t xml:space="preserve">e.g. Svecom / Double-E / Goldenrod generic</t>
  </si>
  <si>
    <t xml:space="preserve">Replace on shaft service</t>
  </si>
  <si>
    <t xml:space="preserve">Shaft Coupling Elements</t>
  </si>
  <si>
    <t xml:space="preserve">e.g. ETP / Lenze / generic hub insert</t>
  </si>
  <si>
    <t xml:space="preserve">Replace on inspection</t>
  </si>
  <si>
    <t xml:space="preserve">Core Chuck — Spare Parts</t>
  </si>
  <si>
    <t xml:space="preserve">Springs, clips, sensors — generic</t>
  </si>
  <si>
    <t xml:space="preserve">As needed</t>
  </si>
  <si>
    <t xml:space="preserve">    SUBTOTAL — D. WINDING SYSTEM</t>
  </si>
  <si>
    <t xml:space="preserve">E.  ELECTRICAL &amp; DRIVES</t>
  </si>
  <si>
    <t xml:space="preserve">Semiconductor Fuses (VFD Drives)</t>
  </si>
  <si>
    <t xml:space="preserve">Various ratings — e.g. Bussmann / Siba / generic</t>
  </si>
  <si>
    <t xml:space="preserve">Critical spare — keep stock!</t>
  </si>
  <si>
    <t xml:space="preserve">HRC / MCB Fuses (Panel)</t>
  </si>
  <si>
    <t xml:space="preserve">Various ratings — generic</t>
  </si>
  <si>
    <t xml:space="preserve">Panel protection</t>
  </si>
  <si>
    <t xml:space="preserve">Contactors / Relays</t>
  </si>
  <si>
    <t xml:space="preserve">e.g. Schneider LC1/LR2, Siemens 3RT — generic</t>
  </si>
  <si>
    <t xml:space="preserve">Replace on failure</t>
  </si>
  <si>
    <t xml:space="preserve">Safety Relay Spare</t>
  </si>
  <si>
    <t xml:space="preserve">e.g. Siemens 3TK28, Pilz PNOZ — generic</t>
  </si>
  <si>
    <t xml:space="preserve">Critical safety component</t>
  </si>
  <si>
    <t xml:space="preserve">Proximity Sensors (inductive)</t>
  </si>
  <si>
    <t xml:space="preserve">M12 / M18 — e.g. IFM / Pepperl+Fuchs / generic</t>
  </si>
  <si>
    <t xml:space="preserve">Flow Sensors (cooling water)</t>
  </si>
  <si>
    <t xml:space="preserve">e.g. IFM SM6004 / generic</t>
  </si>
  <si>
    <t xml:space="preserve">Profibus / Network Connectors</t>
  </si>
  <si>
    <t xml:space="preserve">DB9 fast-connect / M12 field-bus — generic</t>
  </si>
  <si>
    <t xml:space="preserve">Keep spare stock</t>
  </si>
  <si>
    <t xml:space="preserve">Incremental Encoders</t>
  </si>
  <si>
    <t xml:space="preserve">Drive feedback — e.g. Heidenhain / Sick / generic</t>
  </si>
  <si>
    <t xml:space="preserve">Critical — keep 1 spare</t>
  </si>
  <si>
    <t xml:space="preserve">Stepper Drive (Wire Feeder)</t>
  </si>
  <si>
    <t xml:space="preserve">Amplifier card — e.g. Stögra / Oriental Motor / generic</t>
  </si>
  <si>
    <t xml:space="preserve">Long lead; keep 1 spare</t>
  </si>
  <si>
    <t xml:space="preserve">Temperature Sensor PT100</t>
  </si>
  <si>
    <t xml:space="preserve">Process monitoring — generic</t>
  </si>
  <si>
    <t xml:space="preserve">Replace on drift / failure</t>
  </si>
  <si>
    <t xml:space="preserve">    SUBTOTAL — E. ELECTRICAL &amp; DRIVES</t>
  </si>
  <si>
    <t xml:space="preserve">F.  MECHANICAL SPARES</t>
  </si>
  <si>
    <t xml:space="preserve">Deep-Groove Bearings (6200/6300 series)</t>
  </si>
  <si>
    <t xml:space="preserve">e.g. SKF / FAG / NTN / NSK / generic</t>
  </si>
  <si>
    <t xml:space="preserve">Various sizes per bearing schedule</t>
  </si>
  <si>
    <t xml:space="preserve">Roller / CARB Bearings</t>
  </si>
  <si>
    <t xml:space="preserve">Heavy-duty applications — generic</t>
  </si>
  <si>
    <t xml:space="preserve">Drum + main rollers</t>
  </si>
  <si>
    <t xml:space="preserve">Bearing Grease (EP)</t>
  </si>
  <si>
    <t xml:space="preserve">e.g. SKF LGMT2/3 / Mobil Mobilith SHC / generic</t>
  </si>
  <si>
    <t xml:space="preserve">Per lubrication schedule</t>
  </si>
  <si>
    <t xml:space="preserve">Timing Belts</t>
  </si>
  <si>
    <t xml:space="preserve">Various drive belts — generic</t>
  </si>
  <si>
    <t xml:space="preserve">Pneumatic Cylinders</t>
  </si>
  <si>
    <t xml:space="preserve">e.g. Festo DSBC / SMC / generic</t>
  </si>
  <si>
    <t xml:space="preserve">Shutter / shield / misc actuators</t>
  </si>
  <si>
    <t xml:space="preserve">Solenoid Valves (5/2, 3/2)</t>
  </si>
  <si>
    <t xml:space="preserve">e.g. Festo / SMC / generic</t>
  </si>
  <si>
    <t xml:space="preserve">FRL Unit (Filter-Reg-Lub)</t>
  </si>
  <si>
    <t xml:space="preserve">Compressed-air treatment — generic</t>
  </si>
  <si>
    <t xml:space="preserve">Annual element replacement</t>
  </si>
  <si>
    <t xml:space="preserve">    SUBTOTAL — F. MECHANICAL SPARES</t>
  </si>
  <si>
    <t xml:space="preserve">G.  OEM SERVICE CONTRACTS &amp; AMC</t>
  </si>
  <si>
    <t xml:space="preserve">Dry-Screw Pump — Annual Service</t>
  </si>
  <si>
    <t xml:space="preserve">Pump inspection + oil change (any dry-screw OEM)</t>
  </si>
  <si>
    <t xml:space="preserve">Visit</t>
  </si>
  <si>
    <t xml:space="preserve">2 machines × 1 visit each</t>
  </si>
  <si>
    <t xml:space="preserve">Dry-Screw Pump — Major Overhaul (~16,000 hrs)</t>
  </si>
  <si>
    <t xml:space="preserve">Every 4 years — pro-rata ¼ annual provision</t>
  </si>
  <si>
    <t xml:space="preserve">Provision</t>
  </si>
  <si>
    <t xml:space="preserve">Pro-rata annual provision</t>
  </si>
  <si>
    <t xml:space="preserve">Roots Booster — Annual Service</t>
  </si>
  <si>
    <t xml:space="preserve">Oil change + inspection</t>
  </si>
  <si>
    <t xml:space="preserve">2 machines</t>
  </si>
  <si>
    <t xml:space="preserve">Cryo-cooler / Water-Vapour Pump — Annual Inspection</t>
  </si>
  <si>
    <t xml:space="preserve">Helium-leak test + compressor check</t>
  </si>
  <si>
    <t xml:space="preserve">Specialist required</t>
  </si>
  <si>
    <t xml:space="preserve">Primary Machine OEM — Annual Visit</t>
  </si>
  <si>
    <t xml:space="preserve">Full-machine inspection (e.g. BOBST / Buhler / Applied / Kobelco)</t>
  </si>
  <si>
    <t xml:space="preserve">OEM engineer inspection</t>
  </si>
  <si>
    <t xml:space="preserve">Chiller — Annual Service</t>
  </si>
  <si>
    <t xml:space="preserve">Refrigeration + electrical</t>
  </si>
  <si>
    <t xml:space="preserve">Helium Leak-Detection Service</t>
  </si>
  <si>
    <t xml:space="preserve">Fine-leak location (third-party specialist)</t>
  </si>
  <si>
    <t xml:space="preserve">As needed; budget 2 visits</t>
  </si>
  <si>
    <t xml:space="preserve">    SUBTOTAL — G. OEM SERVICE CONTRACTS &amp; AMC</t>
  </si>
  <si>
    <t xml:space="preserve">H.  SAFETY, PPE &amp; COMPLIANCE</t>
  </si>
  <si>
    <t xml:space="preserve">P3 Respirator Masks</t>
  </si>
  <si>
    <t xml:space="preserve">AlBond / chamber entry — disposable</t>
  </si>
  <si>
    <t xml:space="preserve">Mandatory for AlOx handling</t>
  </si>
  <si>
    <t xml:space="preserve">Safety Glasses (ANSI Z87.1)</t>
  </si>
  <si>
    <t xml:space="preserve">Impact-resistant — generic</t>
  </si>
  <si>
    <t xml:space="preserve">Replace when scratched</t>
  </si>
  <si>
    <t xml:space="preserve">Heat-Resistant Gloves</t>
  </si>
  <si>
    <t xml:space="preserve">Boat handling / hot surfaces</t>
  </si>
  <si>
    <t xml:space="preserve">Pairs</t>
  </si>
  <si>
    <t xml:space="preserve">Monthly replacement per operator</t>
  </si>
  <si>
    <t xml:space="preserve">Chemical Gloves (nitrile)</t>
  </si>
  <si>
    <t xml:space="preserve">Glycol / IPA handling — box of 100</t>
  </si>
  <si>
    <t xml:space="preserve">Box</t>
  </si>
  <si>
    <t xml:space="preserve">Per department consumption</t>
  </si>
  <si>
    <t xml:space="preserve">Safety Shoes</t>
  </si>
  <si>
    <t xml:space="preserve">Steel-toe, ESD-rated</t>
  </si>
  <si>
    <t xml:space="preserve">Annual per operator</t>
  </si>
  <si>
    <t xml:space="preserve">Ear Protection (muffs / plugs)</t>
  </si>
  <si>
    <t xml:space="preserve">For &gt; 85 dB zones — near pumps</t>
  </si>
  <si>
    <t xml:space="preserve">Shop-floor issue</t>
  </si>
  <si>
    <t xml:space="preserve">Fire Extinguisher Service</t>
  </si>
  <si>
    <t xml:space="preserve">ABC + CO₂ + Class D (AlOx metal fire)</t>
  </si>
  <si>
    <t xml:space="preserve">Annual inspection + refill</t>
  </si>
  <si>
    <t xml:space="preserve">AlOx Waste Steel Drums</t>
  </si>
  <si>
    <t xml:space="preserve">Sealed, 6 mm vent hole, dry storage</t>
  </si>
  <si>
    <t xml:space="preserve">Max ⅓ full; DRY storage only</t>
  </si>
  <si>
    <t xml:space="preserve">    SUBTOTAL — H. SAFETY, PPE &amp; COMPLIANCE</t>
  </si>
  <si>
    <t xml:space="preserve">I.  CALIBRATION &amp; TESTING</t>
  </si>
  <si>
    <t xml:space="preserve">OD Reference Samples</t>
  </si>
  <si>
    <t xml:space="preserve">For OD calibration (inline + offline)</t>
  </si>
  <si>
    <t xml:space="preserve">Annual replacement</t>
  </si>
  <si>
    <t xml:space="preserve">Dyne Pen Set</t>
  </si>
  <si>
    <t xml:space="preserve">38 / 40 / 42 / 44 dyne/cm</t>
  </si>
  <si>
    <t xml:space="preserve">Monthly set; ~6-month shelf life</t>
  </si>
  <si>
    <t xml:space="preserve">Portable OD Meter</t>
  </si>
  <si>
    <t xml:space="preserve">e.g. X-Rite / Techkon / generic — battery + lamp</t>
  </si>
  <si>
    <t xml:space="preserve">Annual service</t>
  </si>
  <si>
    <t xml:space="preserve">Pressure Gauges Calibration</t>
  </si>
  <si>
    <t xml:space="preserve">Vacuum + process gauges (NABL certified)</t>
  </si>
  <si>
    <t xml:space="preserve">Annual NABL calibration</t>
  </si>
  <si>
    <t xml:space="preserve">Electrical Test Equipment</t>
  </si>
  <si>
    <t xml:space="preserve">Megger, multimeter, IR thermometer (batteries + probes)</t>
  </si>
  <si>
    <t xml:space="preserve">Maintenance of test kit</t>
  </si>
  <si>
    <t xml:space="preserve">Earth-Pit Testing</t>
  </si>
  <si>
    <t xml:space="preserve">Annual resistance test</t>
  </si>
  <si>
    <t xml:space="preserve">Mandatory per IE rules</t>
  </si>
  <si>
    <t xml:space="preserve">Thermography (electrical panels)</t>
  </si>
  <si>
    <t xml:space="preserve">IR scan of all panels — predictive maintenance</t>
  </si>
  <si>
    <t xml:space="preserve">Annual predictive maintenance</t>
  </si>
  <si>
    <t xml:space="preserve">    SUBTOTAL — I. CALIBRATION &amp; TESTING</t>
  </si>
  <si>
    <t xml:space="preserve">J.  CLEANING &amp; HOUSEKEEPING</t>
  </si>
  <si>
    <t xml:space="preserve">IPA (Isopropyl Alcohol)</t>
  </si>
  <si>
    <t xml:space="preserve">Roller / optics cleaning — generic</t>
  </si>
  <si>
    <t xml:space="preserve">Always use with lint-free cloth</t>
  </si>
  <si>
    <t xml:space="preserve">Lint-Free Cloths</t>
  </si>
  <si>
    <t xml:space="preserve">Vacuum / optics cleaning — generic</t>
  </si>
  <si>
    <t xml:space="preserve">NEVER use regular cloth</t>
  </si>
  <si>
    <t xml:space="preserve">Industrial Vacuum-Cleaner Bags</t>
  </si>
  <si>
    <t xml:space="preserve">Combustible-dust rated — e.g. Nilfisk CFM / generic</t>
  </si>
  <si>
    <t xml:space="preserve">Empty every cycle</t>
  </si>
  <si>
    <t xml:space="preserve">Cleaning Scrapers</t>
  </si>
  <si>
    <t xml:space="preserve">Flat + BeCu spark-proof (AlOx safety)</t>
  </si>
  <si>
    <t xml:space="preserve">Replace when worn</t>
  </si>
  <si>
    <t xml:space="preserve">Contact Cleaner Spray</t>
  </si>
  <si>
    <t xml:space="preserve">Electrical connector cleaning — generic</t>
  </si>
  <si>
    <t xml:space="preserve">For connector maintenance</t>
  </si>
  <si>
    <t xml:space="preserve">    SUBTOTAL — J. CLEANING &amp; HOUSEKEEPING</t>
  </si>
  <si>
    <t xml:space="preserve">K.  MISCELLANEOUS &amp; CONTINGENCY</t>
  </si>
  <si>
    <t xml:space="preserve">Signage &amp; Safety Labels</t>
  </si>
  <si>
    <t xml:space="preserve">Replace faded / damaged signs</t>
  </si>
  <si>
    <t xml:space="preserve">Annual refresh</t>
  </si>
  <si>
    <t xml:space="preserve">Documentation &amp; Logbooks</t>
  </si>
  <si>
    <t xml:space="preserve">PM logs, shift logs, checklists</t>
  </si>
  <si>
    <t xml:space="preserve">Annual print run</t>
  </si>
  <si>
    <t xml:space="preserve">Training Material</t>
  </si>
  <si>
    <t xml:space="preserve">Manuals, visual aids, updates</t>
  </si>
  <si>
    <t xml:space="preserve">Operator skill development</t>
  </si>
  <si>
    <t xml:space="preserve">Contingency (~5% of total)</t>
  </si>
  <si>
    <t xml:space="preserve">Unexpected repairs / emergencies</t>
  </si>
  <si>
    <t xml:space="preserve">Auto: 5% × sum of A–J</t>
  </si>
  <si>
    <t xml:space="preserve">    SUBTOTAL — K. MISCELLANEOUS &amp; CONTINGENCY</t>
  </si>
  <si>
    <t xml:space="preserve">★ GRAND TOTAL — ANNUAL BUDGET</t>
  </si>
  <si>
    <t xml:space="preserve">    VARIANCE (Proposed vs Actual Last FY)</t>
  </si>
  <si>
    <t xml:space="preserve">% Change</t>
  </si>
  <si>
    <t xml:space="preserve">    COST PER MACHINE  (÷ [edit] machines)</t>
  </si>
  <si>
    <t xml:space="preserve">    COST PER MONTH  (÷ 12 months)</t>
  </si>
  <si>
    <t xml:space="preserve">NOTES &amp; ASSUMPTIONS:</t>
  </si>
  <si>
    <t xml:space="preserve">1. This budget is a GENERIC template for vacuum metalliser lines. Replace brand examples in column C with your actual installed brands.</t>
  </si>
  <si>
    <t xml:space="preserve">2. Blue-coloured cells are INPUT values — modify Qty/Year and Rate as per your plant.</t>
  </si>
  <si>
    <t xml:space="preserve">3. All amounts in Indian Rupees (₹), exclusive of GST.</t>
  </si>
  <si>
    <t xml:space="preserve">4. Vacuum-pump types used in metalliser: Dry-screw (roughing), Roots booster, Rotary-vane, Diffusion (fine vacuum). Substitute brands freely.</t>
  </si>
  <si>
    <t xml:space="preserve">5. Vacuum-pump oil examples: DP oil = silicone; Rotary = mineral/diester; Booster = synthetic.</t>
  </si>
  <si>
    <t xml:space="preserve">6. OEM service costs are approximate — get actual quotation before finalising.</t>
  </si>
  <si>
    <t xml:space="preserve">7. Wire consumption estimated at ~1000 kg/month — varies by product mix and OD.</t>
  </si>
  <si>
    <t xml:space="preserve">8. Contingency (row K-76) auto-calculates at 5% of A–J subtotals.</t>
  </si>
  <si>
    <t xml:space="preserve">9. "Actual Last FY" column should be filled from SAP / ERP cost-centre reports.</t>
  </si>
  <si>
    <t xml:space="preserve">10. Major pump overhaul (~16,000-hr interval) provisioned at ¼ annually — adjust based on running hours.</t>
  </si>
  <si>
    <t xml:space="preserve">Prepared by: ________________    Reviewed by: ________________    Approved by: ________________    Date: ________________</t>
  </si>
  <si>
    <t xml:space="preserve">ANNUAL BUDGET SUMMARY — CATEGORY BREAKDOWN</t>
  </si>
  <si>
    <t xml:space="preserve">% share of total + variance view — use this as the 1-page approval cover</t>
  </si>
  <si>
    <t xml:space="preserve">Category</t>
  </si>
  <si>
    <t xml:space="preserve">Budget (₹)</t>
  </si>
  <si>
    <t xml:space="preserve">% of Total</t>
  </si>
  <si>
    <t xml:space="preserve">A. Consumables — Evaporation</t>
  </si>
  <si>
    <t xml:space="preserve">B. Vacuum System — Consumables &amp; Oils</t>
  </si>
  <si>
    <t xml:space="preserve">C. Cooling System</t>
  </si>
  <si>
    <t xml:space="preserve">D. Winding System</t>
  </si>
  <si>
    <t xml:space="preserve">E. Electrical &amp; Drives</t>
  </si>
  <si>
    <t xml:space="preserve">F. Mechanical Spares</t>
  </si>
  <si>
    <t xml:space="preserve">G. OEM Service Contracts</t>
  </si>
  <si>
    <t xml:space="preserve">H. Safety, PPE &amp; Compliance</t>
  </si>
  <si>
    <t xml:space="preserve">I. Calibration &amp; Testing</t>
  </si>
  <si>
    <t xml:space="preserve">J. Cleaning &amp; Housekeeping</t>
  </si>
  <si>
    <t xml:space="preserve">K. Miscellaneous &amp; Contingency</t>
  </si>
  <si>
    <t xml:space="preserve">★</t>
  </si>
  <si>
    <t xml:space="preserve">GRAND TOTAL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</si>
</sst>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_-\₹* #,##0_-;_-\₹* \(#,##0\);_-\₹* \-_-;_-@_-"/>
    <numFmt numFmtId="166" formatCode="0.0%;\(0.0%\);\-"/>
  </numFmts>
  <fonts count="2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20"/>
      <color rgb="FF1A2744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i val="true"/>
      <sz val="11"/>
      <color rgb="FFFFFFFF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0"/>
      <color rgb="FF1A2744"/>
      <name val="Calibri"/>
      <family val="0"/>
      <charset val="1"/>
    </font>
    <font>
      <sz val="10"/>
      <color rgb="FF000000"/>
      <name val="Calibri"/>
      <family val="0"/>
      <charset val="1"/>
    </font>
    <font>
      <i val="true"/>
      <sz val="9"/>
      <color rgb="FFFFFFFF"/>
      <name val="Calibri"/>
      <family val="0"/>
      <charset val="1"/>
    </font>
    <font>
      <b val="true"/>
      <sz val="11"/>
      <name val="Cambria"/>
      <family val="0"/>
      <charset val="1"/>
    </font>
    <font>
      <sz val="10"/>
      <color rgb="FF0000FF"/>
      <name val="Calibri"/>
      <family val="0"/>
      <charset val="1"/>
    </font>
    <font>
      <b val="true"/>
      <i val="true"/>
      <sz val="11"/>
      <name val="Cambria"/>
      <family val="0"/>
      <charset val="1"/>
    </font>
    <font>
      <i val="true"/>
      <sz val="9"/>
      <color rgb="FF555555"/>
      <name val="Calibri"/>
      <family val="0"/>
      <charset val="1"/>
    </font>
    <font>
      <b val="true"/>
      <sz val="10"/>
      <color rgb="FFFFFFFF"/>
      <name val="Calibri"/>
      <family val="0"/>
      <charset val="1"/>
    </font>
    <font>
      <i val="true"/>
      <sz val="10"/>
      <color rgb="FF000000"/>
      <name val="Calibri"/>
      <family val="0"/>
      <charset val="1"/>
    </font>
    <font>
      <b val="true"/>
      <sz val="12"/>
      <color rgb="FFFFFFFF"/>
      <name val="Calibri"/>
      <family val="0"/>
      <charset val="1"/>
    </font>
    <font>
      <b val="true"/>
      <sz val="11"/>
      <color rgb="FF1A2744"/>
      <name val="Calibri"/>
      <family val="0"/>
      <charset val="1"/>
    </font>
    <font>
      <i val="true"/>
      <sz val="11"/>
      <name val="Cambria"/>
      <family val="0"/>
      <charset val="1"/>
    </font>
    <font>
      <sz val="9"/>
      <color rgb="FF333333"/>
      <name val="Calibri"/>
      <family val="0"/>
      <charset val="1"/>
    </font>
    <font>
      <i val="true"/>
      <sz val="10"/>
      <color rgb="FF1A2744"/>
      <name val="Calibri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8F6F1"/>
      </patternFill>
    </fill>
    <fill>
      <patternFill patternType="solid">
        <fgColor rgb="FFE85D26"/>
        <bgColor rgb="FFFF8080"/>
      </patternFill>
    </fill>
    <fill>
      <patternFill patternType="solid">
        <fgColor rgb="FF1A2744"/>
        <bgColor rgb="FF333333"/>
      </patternFill>
    </fill>
    <fill>
      <patternFill patternType="solid">
        <fgColor rgb="FF0D8C7E"/>
        <bgColor rgb="FF339966"/>
      </patternFill>
    </fill>
    <fill>
      <patternFill patternType="solid">
        <fgColor rgb="FFE8F0FE"/>
        <bgColor rgb="FFF8F6F1"/>
      </patternFill>
    </fill>
    <fill>
      <patternFill patternType="solid">
        <fgColor rgb="FF2D5F6B"/>
        <bgColor rgb="FF555555"/>
      </patternFill>
    </fill>
    <fill>
      <patternFill patternType="solid">
        <fgColor rgb="FFFFF4E6"/>
        <bgColor rgb="FFF8F6F1"/>
      </patternFill>
    </fill>
    <fill>
      <patternFill patternType="solid">
        <fgColor rgb="FFF8F6F1"/>
        <bgColor rgb="FFFFF4E6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C7C2B8"/>
      </left>
      <right style="thin">
        <color rgb="FFC7C2B8"/>
      </right>
      <top style="thin">
        <color rgb="FFC7C2B8"/>
      </top>
      <bottom style="thin">
        <color rgb="FFC7C2B8"/>
      </bottom>
      <diagonal/>
    </border>
    <border diagonalUp="false" diagonalDown="false">
      <left style="thin">
        <color rgb="FFC7C2B8"/>
      </left>
      <right/>
      <top style="thin">
        <color rgb="FFC7C2B8"/>
      </top>
      <bottom style="thin">
        <color rgb="FFC7C2B8"/>
      </bottom>
      <diagonal/>
    </border>
    <border diagonalUp="false" diagonalDown="false">
      <left style="medium">
        <color rgb="FF1A2744"/>
      </left>
      <right style="medium">
        <color rgb="FF1A2744"/>
      </right>
      <top style="medium">
        <color rgb="FF1A2744"/>
      </top>
      <bottom style="medium">
        <color rgb="FF1A2744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1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9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10" fillId="4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2" borderId="0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2" fillId="6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2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2" fillId="6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5" fillId="7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5" fillId="7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6" fillId="8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7" fillId="3" borderId="3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3" borderId="3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1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9" fillId="8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8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8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0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9" borderId="1" xfId="0" applyFont="fals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9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5" fontId="0" fillId="9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6" fontId="0" fillId="9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7" fillId="3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D8C7E"/>
      <rgbColor rgb="FFC7C2B8"/>
      <rgbColor rgb="FF808080"/>
      <rgbColor rgb="FF9999FF"/>
      <rgbColor rgb="FF993366"/>
      <rgbColor rgb="FFFFF4E6"/>
      <rgbColor rgb="FFE8F0FE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2D5F6B"/>
      <rgbColor rgb="FF0000FF"/>
      <rgbColor rgb="FF00CCFF"/>
      <rgbColor rgb="FFF8F6F1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E85D26"/>
      <rgbColor rgb="FF555555"/>
      <rgbColor rgb="FF969696"/>
      <rgbColor rgb="FF1A274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_rels/drawing1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2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_rels/drawing3.xml.rels><?xml version="1.0" encoding="UTF-8"?>
<Relationships xmlns="http://schemas.openxmlformats.org/package/2006/relationships"><Relationship Id="rId1" Type="http://schemas.openxmlformats.org/officeDocument/2006/relationships/image" Target="../media/image1.png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0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1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47520</xdr:colOff>
      <xdr:row>0</xdr:row>
      <xdr:rowOff>66600</xdr:rowOff>
    </xdr:from>
    <xdr:to>
      <xdr:col>0</xdr:col>
      <xdr:colOff>570960</xdr:colOff>
      <xdr:row>0</xdr:row>
      <xdr:rowOff>590040</xdr:rowOff>
    </xdr:to>
    <xdr:pic>
      <xdr:nvPicPr>
        <xdr:cNvPr id="2" name="Image 1" descr="Picture"/>
        <xdr:cNvPicPr/>
      </xdr:nvPicPr>
      <xdr:blipFill>
        <a:blip r:embed="rId1"/>
        <a:stretch/>
      </xdr:blipFill>
      <xdr:spPr>
        <a:xfrm>
          <a:off x="47520" y="66600"/>
          <a:ext cx="523440" cy="523440"/>
        </a:xfrm>
        <a:prstGeom prst="rect">
          <a:avLst/>
        </a:prstGeom>
        <a:ln w="0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B39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5"/>
    <col collapsed="false" customWidth="true" hidden="false" outlineLevel="0" max="2" min="2" style="0" width="95"/>
  </cols>
  <sheetData>
    <row r="1" customFormat="false" ht="69.75" hidden="false" customHeight="true" outlineLevel="0" collapsed="false">
      <c r="A1" s="1"/>
      <c r="B1" s="2" t="s">
        <v>0</v>
      </c>
    </row>
    <row r="2" customFormat="false" ht="3.75" hidden="false" customHeight="true" outlineLevel="0" collapsed="false">
      <c r="A2" s="3"/>
      <c r="B2" s="3"/>
    </row>
    <row r="3" customFormat="false" ht="30" hidden="false" customHeight="true" outlineLevel="0" collapsed="false">
      <c r="A3" s="4" t="s">
        <v>1</v>
      </c>
      <c r="B3" s="4"/>
    </row>
    <row r="4" customFormat="false" ht="21.75" hidden="false" customHeight="true" outlineLevel="0" collapsed="false">
      <c r="A4" s="5" t="s">
        <v>2</v>
      </c>
      <c r="B4" s="5"/>
    </row>
    <row r="5" customFormat="false" ht="7.5" hidden="false" customHeight="true" outlineLevel="0" collapsed="false"/>
    <row r="6" customFormat="false" ht="27.75" hidden="false" customHeight="true" outlineLevel="0" collapsed="false">
      <c r="A6" s="6" t="s">
        <v>3</v>
      </c>
      <c r="B6" s="6"/>
    </row>
    <row r="7" customFormat="false" ht="27.75" hidden="false" customHeight="true" outlineLevel="0" collapsed="false">
      <c r="A7" s="7" t="s">
        <v>4</v>
      </c>
      <c r="B7" s="8" t="s">
        <v>5</v>
      </c>
    </row>
    <row r="8" customFormat="false" ht="27.75" hidden="false" customHeight="true" outlineLevel="0" collapsed="false">
      <c r="A8" s="7" t="s">
        <v>6</v>
      </c>
      <c r="B8" s="8" t="s">
        <v>7</v>
      </c>
    </row>
    <row r="9" customFormat="false" ht="27.75" hidden="false" customHeight="true" outlineLevel="0" collapsed="false">
      <c r="A9" s="7" t="s">
        <v>8</v>
      </c>
      <c r="B9" s="8" t="s">
        <v>9</v>
      </c>
    </row>
    <row r="11" customFormat="false" ht="27.75" hidden="false" customHeight="true" outlineLevel="0" collapsed="false">
      <c r="A11" s="6" t="s">
        <v>10</v>
      </c>
      <c r="B11" s="6"/>
    </row>
    <row r="12" customFormat="false" ht="27.75" hidden="false" customHeight="true" outlineLevel="0" collapsed="false">
      <c r="A12" s="7" t="s">
        <v>11</v>
      </c>
      <c r="B12" s="8" t="s">
        <v>12</v>
      </c>
    </row>
    <row r="13" customFormat="false" ht="27.75" hidden="false" customHeight="true" outlineLevel="0" collapsed="false">
      <c r="A13" s="7" t="s">
        <v>13</v>
      </c>
      <c r="B13" s="8" t="s">
        <v>14</v>
      </c>
    </row>
    <row r="14" customFormat="false" ht="27.75" hidden="false" customHeight="true" outlineLevel="0" collapsed="false">
      <c r="A14" s="7" t="s">
        <v>15</v>
      </c>
      <c r="B14" s="8" t="s">
        <v>16</v>
      </c>
    </row>
    <row r="15" customFormat="false" ht="27.75" hidden="false" customHeight="true" outlineLevel="0" collapsed="false">
      <c r="A15" s="7" t="s">
        <v>17</v>
      </c>
      <c r="B15" s="8" t="s">
        <v>18</v>
      </c>
    </row>
    <row r="16" customFormat="false" ht="27.75" hidden="false" customHeight="true" outlineLevel="0" collapsed="false">
      <c r="A16" s="7" t="s">
        <v>19</v>
      </c>
      <c r="B16" s="8" t="s">
        <v>20</v>
      </c>
    </row>
    <row r="17" customFormat="false" ht="27.75" hidden="false" customHeight="true" outlineLevel="0" collapsed="false">
      <c r="A17" s="7" t="s">
        <v>21</v>
      </c>
      <c r="B17" s="8" t="s">
        <v>22</v>
      </c>
    </row>
    <row r="18" customFormat="false" ht="27.75" hidden="false" customHeight="true" outlineLevel="0" collapsed="false">
      <c r="A18" s="7" t="s">
        <v>23</v>
      </c>
      <c r="B18" s="8" t="s">
        <v>24</v>
      </c>
    </row>
    <row r="19" customFormat="false" ht="27.75" hidden="false" customHeight="true" outlineLevel="0" collapsed="false">
      <c r="A19" s="7" t="s">
        <v>25</v>
      </c>
      <c r="B19" s="8" t="s">
        <v>26</v>
      </c>
    </row>
    <row r="21" customFormat="false" ht="27.75" hidden="false" customHeight="true" outlineLevel="0" collapsed="false">
      <c r="A21" s="6" t="s">
        <v>27</v>
      </c>
      <c r="B21" s="6"/>
    </row>
    <row r="22" customFormat="false" ht="27.75" hidden="false" customHeight="true" outlineLevel="0" collapsed="false">
      <c r="A22" s="7" t="s">
        <v>28</v>
      </c>
      <c r="B22" s="8" t="s">
        <v>29</v>
      </c>
    </row>
    <row r="23" customFormat="false" ht="27.75" hidden="false" customHeight="true" outlineLevel="0" collapsed="false">
      <c r="A23" s="7" t="s">
        <v>30</v>
      </c>
      <c r="B23" s="8" t="s">
        <v>31</v>
      </c>
    </row>
    <row r="24" customFormat="false" ht="27.75" hidden="false" customHeight="true" outlineLevel="0" collapsed="false">
      <c r="A24" s="7" t="s">
        <v>32</v>
      </c>
      <c r="B24" s="8" t="s">
        <v>33</v>
      </c>
    </row>
    <row r="26" customFormat="false" ht="27.75" hidden="false" customHeight="true" outlineLevel="0" collapsed="false">
      <c r="A26" s="6" t="s">
        <v>34</v>
      </c>
      <c r="B26" s="6"/>
    </row>
    <row r="27" customFormat="false" ht="27.75" hidden="false" customHeight="true" outlineLevel="0" collapsed="false">
      <c r="A27" s="7" t="s">
        <v>35</v>
      </c>
      <c r="B27" s="8" t="s">
        <v>36</v>
      </c>
    </row>
    <row r="28" customFormat="false" ht="27.75" hidden="false" customHeight="true" outlineLevel="0" collapsed="false">
      <c r="A28" s="7" t="s">
        <v>37</v>
      </c>
      <c r="B28" s="8" t="s">
        <v>38</v>
      </c>
    </row>
    <row r="29" customFormat="false" ht="27.75" hidden="false" customHeight="true" outlineLevel="0" collapsed="false">
      <c r="A29" s="7" t="s">
        <v>39</v>
      </c>
      <c r="B29" s="8" t="s">
        <v>40</v>
      </c>
    </row>
    <row r="31" customFormat="false" ht="27.75" hidden="false" customHeight="true" outlineLevel="0" collapsed="false">
      <c r="A31" s="6" t="s">
        <v>41</v>
      </c>
      <c r="B31" s="6"/>
    </row>
    <row r="32" customFormat="false" ht="27.75" hidden="false" customHeight="true" outlineLevel="0" collapsed="false">
      <c r="A32" s="7" t="s">
        <v>42</v>
      </c>
      <c r="B32" s="8" t="s">
        <v>43</v>
      </c>
    </row>
    <row r="33" customFormat="false" ht="27.75" hidden="false" customHeight="true" outlineLevel="0" collapsed="false">
      <c r="A33" s="7" t="s">
        <v>44</v>
      </c>
      <c r="B33" s="8" t="s">
        <v>45</v>
      </c>
    </row>
    <row r="34" customFormat="false" ht="27.75" hidden="false" customHeight="true" outlineLevel="0" collapsed="false">
      <c r="A34" s="7" t="s">
        <v>46</v>
      </c>
      <c r="B34" s="8" t="s">
        <v>47</v>
      </c>
    </row>
    <row r="35" customFormat="false" ht="27.75" hidden="false" customHeight="true" outlineLevel="0" collapsed="false">
      <c r="A35" s="7" t="s">
        <v>48</v>
      </c>
      <c r="B35" s="8" t="s">
        <v>49</v>
      </c>
    </row>
    <row r="38" customFormat="false" ht="3.75" hidden="false" customHeight="true" outlineLevel="0" collapsed="false">
      <c r="A38" s="3"/>
      <c r="B38" s="3"/>
    </row>
    <row r="39" customFormat="false" ht="21.75" hidden="false" customHeight="true" outlineLevel="0" collapsed="false">
      <c r="A39" s="9" t="s">
        <v>50</v>
      </c>
      <c r="B39" s="9"/>
    </row>
  </sheetData>
  <mergeCells count="3">
    <mergeCell ref="A3:B3"/>
    <mergeCell ref="A4:B4"/>
    <mergeCell ref="A39:B39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I130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8" topLeftCell="A9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0"/>
    <col collapsed="false" customWidth="true" hidden="false" outlineLevel="0" max="3" min="3" style="0" width="55"/>
    <col collapsed="false" customWidth="true" hidden="false" outlineLevel="0" max="4" min="4" style="0" width="8"/>
    <col collapsed="false" customWidth="true" hidden="false" outlineLevel="0" max="5" min="5" style="0" width="10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5"/>
    <col collapsed="false" customWidth="true" hidden="false" outlineLevel="0" max="9" min="9" style="0" width="42"/>
  </cols>
  <sheetData>
    <row r="1" customFormat="false" ht="69.75" hidden="false" customHeight="true" outlineLevel="0" collapsed="false">
      <c r="A1" s="1"/>
      <c r="B1" s="10" t="s">
        <v>0</v>
      </c>
      <c r="C1" s="10"/>
      <c r="D1" s="10"/>
      <c r="E1" s="10"/>
      <c r="F1" s="10"/>
      <c r="G1" s="10"/>
      <c r="H1" s="10"/>
      <c r="I1" s="10"/>
    </row>
    <row r="2" customFormat="false" ht="3.75" hidden="false" customHeight="true" outlineLevel="0" collapsed="false">
      <c r="A2" s="3"/>
      <c r="B2" s="3"/>
      <c r="C2" s="3"/>
      <c r="D2" s="3"/>
      <c r="E2" s="3"/>
      <c r="F2" s="3"/>
      <c r="G2" s="3"/>
      <c r="H2" s="3"/>
      <c r="I2" s="3"/>
    </row>
    <row r="3" customFormat="false" ht="30" hidden="false" customHeight="true" outlineLevel="0" collapsed="false">
      <c r="A3" s="4" t="s">
        <v>51</v>
      </c>
      <c r="B3" s="4"/>
      <c r="C3" s="4"/>
      <c r="D3" s="4"/>
      <c r="E3" s="4"/>
      <c r="F3" s="4"/>
      <c r="G3" s="4"/>
      <c r="H3" s="4"/>
      <c r="I3" s="4"/>
    </row>
    <row r="4" customFormat="false" ht="21.75" hidden="false" customHeight="true" outlineLevel="0" collapsed="false">
      <c r="A4" s="5" t="s">
        <v>52</v>
      </c>
      <c r="B4" s="5"/>
      <c r="C4" s="5"/>
      <c r="D4" s="5"/>
      <c r="E4" s="5"/>
      <c r="F4" s="5"/>
      <c r="G4" s="5"/>
      <c r="H4" s="5"/>
      <c r="I4" s="5"/>
    </row>
    <row r="5" customFormat="false" ht="7.5" hidden="false" customHeight="true" outlineLevel="0" collapsed="false"/>
    <row r="6" customFormat="false" ht="15" hidden="false" customHeight="false" outlineLevel="0" collapsed="false">
      <c r="A6" s="11" t="s">
        <v>53</v>
      </c>
      <c r="B6" s="12" t="s">
        <v>54</v>
      </c>
      <c r="C6" s="11" t="s">
        <v>55</v>
      </c>
      <c r="D6" s="12" t="s">
        <v>54</v>
      </c>
      <c r="E6" s="11" t="s">
        <v>56</v>
      </c>
      <c r="F6" s="12" t="s">
        <v>54</v>
      </c>
      <c r="G6" s="11" t="s">
        <v>57</v>
      </c>
      <c r="H6" s="12" t="s">
        <v>54</v>
      </c>
      <c r="I6" s="13" t="s">
        <v>58</v>
      </c>
    </row>
    <row r="8" customFormat="false" ht="33.75" hidden="false" customHeight="true" outlineLevel="0" collapsed="false">
      <c r="A8" s="14" t="s">
        <v>59</v>
      </c>
      <c r="B8" s="14" t="s">
        <v>60</v>
      </c>
      <c r="C8" s="14" t="s">
        <v>61</v>
      </c>
      <c r="D8" s="14" t="s">
        <v>62</v>
      </c>
      <c r="E8" s="14" t="s">
        <v>63</v>
      </c>
      <c r="F8" s="14" t="s">
        <v>64</v>
      </c>
      <c r="G8" s="14" t="s">
        <v>65</v>
      </c>
      <c r="H8" s="14" t="s">
        <v>66</v>
      </c>
      <c r="I8" s="14" t="s">
        <v>67</v>
      </c>
    </row>
    <row r="9" customFormat="false" ht="21.75" hidden="false" customHeight="true" outlineLevel="0" collapsed="false">
      <c r="A9" s="15" t="s">
        <v>68</v>
      </c>
      <c r="B9" s="15"/>
      <c r="C9" s="15"/>
      <c r="D9" s="15"/>
      <c r="E9" s="15"/>
      <c r="F9" s="15"/>
      <c r="G9" s="15"/>
      <c r="H9" s="15"/>
      <c r="I9" s="15"/>
    </row>
    <row r="10" customFormat="false" ht="21.75" hidden="false" customHeight="true" outlineLevel="0" collapsed="false">
      <c r="A10" s="16" t="n">
        <v>1</v>
      </c>
      <c r="B10" s="17" t="s">
        <v>69</v>
      </c>
      <c r="C10" s="18" t="s">
        <v>70</v>
      </c>
      <c r="D10" s="16" t="s">
        <v>71</v>
      </c>
      <c r="E10" s="19" t="n">
        <v>500</v>
      </c>
      <c r="F10" s="20" t="n">
        <v>850</v>
      </c>
      <c r="G10" s="21" t="n">
        <f aca="false">E10*F10</f>
        <v>425000</v>
      </c>
      <c r="H10" s="20"/>
      <c r="I10" s="18" t="s">
        <v>72</v>
      </c>
    </row>
    <row r="11" customFormat="false" ht="27.75" hidden="false" customHeight="true" outlineLevel="0" collapsed="false">
      <c r="A11" s="16" t="n">
        <v>2</v>
      </c>
      <c r="B11" s="17" t="s">
        <v>73</v>
      </c>
      <c r="C11" s="18" t="s">
        <v>74</v>
      </c>
      <c r="D11" s="16" t="s">
        <v>75</v>
      </c>
      <c r="E11" s="19" t="n">
        <v>12000</v>
      </c>
      <c r="F11" s="20" t="n">
        <v>280</v>
      </c>
      <c r="G11" s="21" t="n">
        <f aca="false">E11*F11</f>
        <v>3360000</v>
      </c>
      <c r="H11" s="20"/>
      <c r="I11" s="18" t="s">
        <v>76</v>
      </c>
    </row>
    <row r="12" customFormat="false" ht="21.75" hidden="false" customHeight="true" outlineLevel="0" collapsed="false">
      <c r="A12" s="16" t="n">
        <v>3</v>
      </c>
      <c r="B12" s="17" t="s">
        <v>77</v>
      </c>
      <c r="C12" s="18" t="s">
        <v>78</v>
      </c>
      <c r="D12" s="16" t="s">
        <v>75</v>
      </c>
      <c r="E12" s="19" t="n">
        <v>3000</v>
      </c>
      <c r="F12" s="20" t="n">
        <v>290</v>
      </c>
      <c r="G12" s="21" t="n">
        <f aca="false">E12*F12</f>
        <v>870000</v>
      </c>
      <c r="H12" s="20"/>
      <c r="I12" s="18" t="s">
        <v>79</v>
      </c>
    </row>
    <row r="13" customFormat="false" ht="21.75" hidden="false" customHeight="true" outlineLevel="0" collapsed="false">
      <c r="A13" s="16" t="n">
        <v>4</v>
      </c>
      <c r="B13" s="17" t="s">
        <v>80</v>
      </c>
      <c r="C13" s="18" t="s">
        <v>81</v>
      </c>
      <c r="D13" s="16" t="s">
        <v>82</v>
      </c>
      <c r="E13" s="19" t="n">
        <v>24</v>
      </c>
      <c r="F13" s="20" t="n">
        <v>450</v>
      </c>
      <c r="G13" s="21" t="n">
        <f aca="false">E13*F13</f>
        <v>10800</v>
      </c>
      <c r="H13" s="20"/>
      <c r="I13" s="18" t="s">
        <v>83</v>
      </c>
    </row>
    <row r="14" customFormat="false" ht="21.75" hidden="false" customHeight="true" outlineLevel="0" collapsed="false">
      <c r="A14" s="16" t="n">
        <v>5</v>
      </c>
      <c r="B14" s="17" t="s">
        <v>84</v>
      </c>
      <c r="C14" s="18" t="s">
        <v>85</v>
      </c>
      <c r="D14" s="16" t="s">
        <v>86</v>
      </c>
      <c r="E14" s="19" t="n">
        <v>36</v>
      </c>
      <c r="F14" s="20" t="n">
        <v>1200</v>
      </c>
      <c r="G14" s="21" t="n">
        <f aca="false">E14*F14</f>
        <v>43200</v>
      </c>
      <c r="H14" s="20"/>
      <c r="I14" s="18" t="s">
        <v>87</v>
      </c>
    </row>
    <row r="15" customFormat="false" ht="21.75" hidden="false" customHeight="true" outlineLevel="0" collapsed="false">
      <c r="A15" s="16" t="n">
        <v>6</v>
      </c>
      <c r="B15" s="17" t="s">
        <v>88</v>
      </c>
      <c r="C15" s="18" t="s">
        <v>89</v>
      </c>
      <c r="D15" s="16" t="s">
        <v>90</v>
      </c>
      <c r="E15" s="19" t="n">
        <v>24</v>
      </c>
      <c r="F15" s="20" t="n">
        <v>350</v>
      </c>
      <c r="G15" s="21" t="n">
        <f aca="false">E15*F15</f>
        <v>8400</v>
      </c>
      <c r="H15" s="20"/>
      <c r="I15" s="18" t="s">
        <v>91</v>
      </c>
    </row>
    <row r="16" customFormat="false" ht="21.75" hidden="false" customHeight="true" outlineLevel="0" collapsed="false">
      <c r="A16" s="16" t="n">
        <v>7</v>
      </c>
      <c r="B16" s="17" t="s">
        <v>92</v>
      </c>
      <c r="C16" s="18" t="s">
        <v>93</v>
      </c>
      <c r="D16" s="16" t="s">
        <v>71</v>
      </c>
      <c r="E16" s="19" t="n">
        <v>48</v>
      </c>
      <c r="F16" s="20" t="n">
        <v>280</v>
      </c>
      <c r="G16" s="21" t="n">
        <f aca="false">E16*F16</f>
        <v>13440</v>
      </c>
      <c r="H16" s="20"/>
      <c r="I16" s="18" t="s">
        <v>94</v>
      </c>
    </row>
    <row r="17" customFormat="false" ht="21.75" hidden="false" customHeight="true" outlineLevel="0" collapsed="false">
      <c r="A17" s="16" t="n">
        <v>8</v>
      </c>
      <c r="B17" s="17" t="s">
        <v>95</v>
      </c>
      <c r="C17" s="18" t="s">
        <v>96</v>
      </c>
      <c r="D17" s="16" t="s">
        <v>71</v>
      </c>
      <c r="E17" s="19" t="n">
        <v>8</v>
      </c>
      <c r="F17" s="20" t="n">
        <v>1800</v>
      </c>
      <c r="G17" s="21" t="n">
        <f aca="false">E17*F17</f>
        <v>14400</v>
      </c>
      <c r="H17" s="20"/>
      <c r="I17" s="18" t="s">
        <v>97</v>
      </c>
    </row>
    <row r="18" customFormat="false" ht="21.75" hidden="false" customHeight="true" outlineLevel="0" collapsed="false">
      <c r="A18" s="22" t="s">
        <v>98</v>
      </c>
      <c r="B18" s="22"/>
      <c r="C18" s="22"/>
      <c r="D18" s="22"/>
      <c r="E18" s="22"/>
      <c r="F18" s="22"/>
      <c r="G18" s="23" t="n">
        <f aca="false">SUM(G11:G17)</f>
        <v>4320240</v>
      </c>
      <c r="H18" s="23" t="n">
        <f aca="false">SUM(H11:H17)</f>
        <v>0</v>
      </c>
      <c r="I18" s="24"/>
    </row>
    <row r="19" customFormat="false" ht="21.75" hidden="false" customHeight="true" outlineLevel="0" collapsed="false">
      <c r="A19" s="15" t="s">
        <v>99</v>
      </c>
      <c r="B19" s="15"/>
      <c r="C19" s="15"/>
      <c r="D19" s="15"/>
      <c r="E19" s="15"/>
      <c r="F19" s="15"/>
      <c r="G19" s="15"/>
      <c r="H19" s="15"/>
      <c r="I19" s="15"/>
    </row>
    <row r="20" customFormat="false" ht="21.75" hidden="false" customHeight="true" outlineLevel="0" collapsed="false">
      <c r="A20" s="16" t="n">
        <v>9</v>
      </c>
      <c r="B20" s="17" t="s">
        <v>100</v>
      </c>
      <c r="C20" s="18" t="s">
        <v>101</v>
      </c>
      <c r="D20" s="16" t="s">
        <v>71</v>
      </c>
      <c r="E20" s="19" t="n">
        <v>12</v>
      </c>
      <c r="F20" s="20" t="n">
        <v>3500</v>
      </c>
      <c r="G20" s="21" t="n">
        <f aca="false">E20*F20</f>
        <v>42000</v>
      </c>
      <c r="H20" s="20"/>
      <c r="I20" s="18" t="s">
        <v>102</v>
      </c>
    </row>
    <row r="21" customFormat="false" ht="21.75" hidden="false" customHeight="true" outlineLevel="0" collapsed="false">
      <c r="A21" s="16" t="n">
        <v>10</v>
      </c>
      <c r="B21" s="17" t="s">
        <v>103</v>
      </c>
      <c r="C21" s="18" t="s">
        <v>104</v>
      </c>
      <c r="D21" s="16" t="s">
        <v>105</v>
      </c>
      <c r="E21" s="19" t="n">
        <v>12</v>
      </c>
      <c r="F21" s="20" t="n">
        <v>1500</v>
      </c>
      <c r="G21" s="21" t="n">
        <f aca="false">E21*F21</f>
        <v>18000</v>
      </c>
      <c r="H21" s="20"/>
      <c r="I21" s="18" t="s">
        <v>106</v>
      </c>
    </row>
    <row r="22" customFormat="false" ht="21.75" hidden="false" customHeight="true" outlineLevel="0" collapsed="false">
      <c r="A22" s="16" t="n">
        <v>11</v>
      </c>
      <c r="B22" s="17" t="s">
        <v>107</v>
      </c>
      <c r="C22" s="18" t="s">
        <v>108</v>
      </c>
      <c r="D22" s="16" t="s">
        <v>105</v>
      </c>
      <c r="E22" s="19" t="n">
        <v>6</v>
      </c>
      <c r="F22" s="20" t="n">
        <v>2000</v>
      </c>
      <c r="G22" s="21" t="n">
        <f aca="false">E22*F22</f>
        <v>12000</v>
      </c>
      <c r="H22" s="20"/>
      <c r="I22" s="18" t="s">
        <v>109</v>
      </c>
    </row>
    <row r="23" customFormat="false" ht="21.75" hidden="false" customHeight="true" outlineLevel="0" collapsed="false">
      <c r="A23" s="16" t="n">
        <v>12</v>
      </c>
      <c r="B23" s="17" t="s">
        <v>110</v>
      </c>
      <c r="C23" s="18" t="s">
        <v>111</v>
      </c>
      <c r="D23" s="16" t="s">
        <v>112</v>
      </c>
      <c r="E23" s="19" t="n">
        <v>12</v>
      </c>
      <c r="F23" s="20" t="n">
        <v>800</v>
      </c>
      <c r="G23" s="21" t="n">
        <f aca="false">E23*F23</f>
        <v>9600</v>
      </c>
      <c r="H23" s="20"/>
      <c r="I23" s="18" t="s">
        <v>113</v>
      </c>
    </row>
    <row r="24" customFormat="false" ht="27.75" hidden="false" customHeight="true" outlineLevel="0" collapsed="false">
      <c r="A24" s="16" t="n">
        <v>13</v>
      </c>
      <c r="B24" s="17" t="s">
        <v>114</v>
      </c>
      <c r="C24" s="18" t="s">
        <v>115</v>
      </c>
      <c r="D24" s="16" t="s">
        <v>116</v>
      </c>
      <c r="E24" s="19" t="n">
        <v>8</v>
      </c>
      <c r="F24" s="20" t="n">
        <v>2200</v>
      </c>
      <c r="G24" s="21" t="n">
        <f aca="false">E24*F24</f>
        <v>17600</v>
      </c>
      <c r="H24" s="20"/>
      <c r="I24" s="18" t="s">
        <v>117</v>
      </c>
    </row>
    <row r="25" customFormat="false" ht="21.75" hidden="false" customHeight="true" outlineLevel="0" collapsed="false">
      <c r="A25" s="16" t="n">
        <v>14</v>
      </c>
      <c r="B25" s="17" t="s">
        <v>118</v>
      </c>
      <c r="C25" s="18" t="s">
        <v>119</v>
      </c>
      <c r="D25" s="16" t="s">
        <v>116</v>
      </c>
      <c r="E25" s="19" t="n">
        <v>60</v>
      </c>
      <c r="F25" s="20" t="n">
        <v>180</v>
      </c>
      <c r="G25" s="21" t="n">
        <f aca="false">E25*F25</f>
        <v>10800</v>
      </c>
      <c r="H25" s="20"/>
      <c r="I25" s="18" t="s">
        <v>120</v>
      </c>
    </row>
    <row r="26" customFormat="false" ht="27.75" hidden="false" customHeight="true" outlineLevel="0" collapsed="false">
      <c r="A26" s="16" t="n">
        <v>15</v>
      </c>
      <c r="B26" s="17" t="s">
        <v>121</v>
      </c>
      <c r="C26" s="18" t="s">
        <v>122</v>
      </c>
      <c r="D26" s="16" t="s">
        <v>116</v>
      </c>
      <c r="E26" s="19" t="n">
        <v>8</v>
      </c>
      <c r="F26" s="20" t="n">
        <v>3500</v>
      </c>
      <c r="G26" s="21" t="n">
        <f aca="false">E26*F26</f>
        <v>28000</v>
      </c>
      <c r="H26" s="20"/>
      <c r="I26" s="18" t="s">
        <v>123</v>
      </c>
    </row>
    <row r="27" customFormat="false" ht="27.75" hidden="false" customHeight="true" outlineLevel="0" collapsed="false">
      <c r="A27" s="16" t="n">
        <v>16</v>
      </c>
      <c r="B27" s="17" t="s">
        <v>124</v>
      </c>
      <c r="C27" s="18" t="s">
        <v>125</v>
      </c>
      <c r="D27" s="16" t="s">
        <v>116</v>
      </c>
      <c r="E27" s="19" t="n">
        <v>10</v>
      </c>
      <c r="F27" s="20" t="n">
        <v>8500</v>
      </c>
      <c r="G27" s="21" t="n">
        <f aca="false">E27*F27</f>
        <v>85000</v>
      </c>
      <c r="H27" s="20"/>
      <c r="I27" s="18" t="s">
        <v>126</v>
      </c>
    </row>
    <row r="28" customFormat="false" ht="27.75" hidden="false" customHeight="true" outlineLevel="0" collapsed="false">
      <c r="A28" s="16" t="n">
        <v>17</v>
      </c>
      <c r="B28" s="17" t="s">
        <v>127</v>
      </c>
      <c r="C28" s="18" t="s">
        <v>128</v>
      </c>
      <c r="D28" s="16" t="s">
        <v>116</v>
      </c>
      <c r="E28" s="19" t="n">
        <v>20</v>
      </c>
      <c r="F28" s="20" t="n">
        <v>650</v>
      </c>
      <c r="G28" s="21" t="n">
        <f aca="false">E28*F28</f>
        <v>13000</v>
      </c>
      <c r="H28" s="20"/>
      <c r="I28" s="18" t="s">
        <v>129</v>
      </c>
    </row>
    <row r="29" customFormat="false" ht="21.75" hidden="false" customHeight="true" outlineLevel="0" collapsed="false">
      <c r="A29" s="16" t="n">
        <v>18</v>
      </c>
      <c r="B29" s="17" t="s">
        <v>130</v>
      </c>
      <c r="C29" s="18" t="s">
        <v>131</v>
      </c>
      <c r="D29" s="16" t="s">
        <v>71</v>
      </c>
      <c r="E29" s="19" t="n">
        <v>4</v>
      </c>
      <c r="F29" s="20" t="n">
        <v>4500</v>
      </c>
      <c r="G29" s="21" t="n">
        <f aca="false">E29*F29</f>
        <v>18000</v>
      </c>
      <c r="H29" s="20"/>
      <c r="I29" s="18" t="s">
        <v>132</v>
      </c>
    </row>
    <row r="30" customFormat="false" ht="21.75" hidden="false" customHeight="true" outlineLevel="0" collapsed="false">
      <c r="A30" s="16" t="n">
        <v>19</v>
      </c>
      <c r="B30" s="17" t="s">
        <v>133</v>
      </c>
      <c r="C30" s="18" t="s">
        <v>134</v>
      </c>
      <c r="D30" s="16" t="s">
        <v>71</v>
      </c>
      <c r="E30" s="19" t="n">
        <v>4</v>
      </c>
      <c r="F30" s="20" t="n">
        <v>3200</v>
      </c>
      <c r="G30" s="21" t="n">
        <f aca="false">E30*F30</f>
        <v>12800</v>
      </c>
      <c r="H30" s="20"/>
      <c r="I30" s="18" t="s">
        <v>132</v>
      </c>
    </row>
    <row r="31" customFormat="false" ht="21.75" hidden="false" customHeight="true" outlineLevel="0" collapsed="false">
      <c r="A31" s="22" t="s">
        <v>135</v>
      </c>
      <c r="B31" s="22"/>
      <c r="C31" s="22"/>
      <c r="D31" s="22"/>
      <c r="E31" s="22"/>
      <c r="F31" s="22"/>
      <c r="G31" s="23" t="n">
        <f aca="false">SUM(G21:G30)</f>
        <v>224800</v>
      </c>
      <c r="H31" s="23" t="n">
        <f aca="false">SUM(H21:H30)</f>
        <v>0</v>
      </c>
      <c r="I31" s="24"/>
    </row>
    <row r="32" customFormat="false" ht="21.75" hidden="false" customHeight="true" outlineLevel="0" collapsed="false">
      <c r="A32" s="15" t="s">
        <v>136</v>
      </c>
      <c r="B32" s="15"/>
      <c r="C32" s="15"/>
      <c r="D32" s="15"/>
      <c r="E32" s="15"/>
      <c r="F32" s="15"/>
      <c r="G32" s="15"/>
      <c r="H32" s="15"/>
      <c r="I32" s="15"/>
    </row>
    <row r="33" customFormat="false" ht="21.75" hidden="false" customHeight="true" outlineLevel="0" collapsed="false">
      <c r="A33" s="16" t="n">
        <v>20</v>
      </c>
      <c r="B33" s="17" t="s">
        <v>137</v>
      </c>
      <c r="C33" s="18" t="s">
        <v>138</v>
      </c>
      <c r="D33" s="16" t="s">
        <v>116</v>
      </c>
      <c r="E33" s="19" t="n">
        <v>50</v>
      </c>
      <c r="F33" s="20" t="n">
        <v>220</v>
      </c>
      <c r="G33" s="21" t="n">
        <f aca="false">E33*F33</f>
        <v>11000</v>
      </c>
      <c r="H33" s="20"/>
      <c r="I33" s="18" t="s">
        <v>139</v>
      </c>
    </row>
    <row r="34" customFormat="false" ht="21.75" hidden="false" customHeight="true" outlineLevel="0" collapsed="false">
      <c r="A34" s="16" t="n">
        <v>21</v>
      </c>
      <c r="B34" s="17" t="s">
        <v>140</v>
      </c>
      <c r="C34" s="18" t="s">
        <v>141</v>
      </c>
      <c r="D34" s="16" t="s">
        <v>71</v>
      </c>
      <c r="E34" s="19" t="n">
        <v>4</v>
      </c>
      <c r="F34" s="20" t="n">
        <v>650</v>
      </c>
      <c r="G34" s="21" t="n">
        <f aca="false">E34*F34</f>
        <v>2600</v>
      </c>
      <c r="H34" s="20"/>
      <c r="I34" s="18" t="s">
        <v>142</v>
      </c>
    </row>
    <row r="35" customFormat="false" ht="21.75" hidden="false" customHeight="true" outlineLevel="0" collapsed="false">
      <c r="A35" s="16" t="n">
        <v>22</v>
      </c>
      <c r="B35" s="17" t="s">
        <v>143</v>
      </c>
      <c r="C35" s="18" t="s">
        <v>144</v>
      </c>
      <c r="D35" s="16" t="s">
        <v>75</v>
      </c>
      <c r="E35" s="19" t="n">
        <v>5</v>
      </c>
      <c r="F35" s="20" t="n">
        <v>1800</v>
      </c>
      <c r="G35" s="21" t="n">
        <f aca="false">E35*F35</f>
        <v>9000</v>
      </c>
      <c r="H35" s="20"/>
      <c r="I35" s="18" t="s">
        <v>145</v>
      </c>
    </row>
    <row r="36" customFormat="false" ht="21.75" hidden="false" customHeight="true" outlineLevel="0" collapsed="false">
      <c r="A36" s="16" t="n">
        <v>23</v>
      </c>
      <c r="B36" s="17" t="s">
        <v>146</v>
      </c>
      <c r="C36" s="18" t="s">
        <v>147</v>
      </c>
      <c r="D36" s="16" t="s">
        <v>148</v>
      </c>
      <c r="E36" s="19" t="n">
        <v>12</v>
      </c>
      <c r="F36" s="20" t="n">
        <v>3500</v>
      </c>
      <c r="G36" s="21" t="n">
        <f aca="false">E36*F36</f>
        <v>42000</v>
      </c>
      <c r="H36" s="20"/>
      <c r="I36" s="18" t="s">
        <v>149</v>
      </c>
    </row>
    <row r="37" customFormat="false" ht="27.75" hidden="false" customHeight="true" outlineLevel="0" collapsed="false">
      <c r="A37" s="16" t="n">
        <v>24</v>
      </c>
      <c r="B37" s="17" t="s">
        <v>150</v>
      </c>
      <c r="C37" s="18" t="s">
        <v>151</v>
      </c>
      <c r="D37" s="16" t="s">
        <v>152</v>
      </c>
      <c r="E37" s="19" t="n">
        <v>2</v>
      </c>
      <c r="F37" s="20" t="n">
        <v>12000</v>
      </c>
      <c r="G37" s="21" t="n">
        <f aca="false">E37*F37</f>
        <v>24000</v>
      </c>
      <c r="H37" s="20"/>
      <c r="I37" s="18" t="s">
        <v>153</v>
      </c>
    </row>
    <row r="38" customFormat="false" ht="21.75" hidden="false" customHeight="true" outlineLevel="0" collapsed="false">
      <c r="A38" s="22" t="s">
        <v>154</v>
      </c>
      <c r="B38" s="22"/>
      <c r="C38" s="22"/>
      <c r="D38" s="22"/>
      <c r="E38" s="22"/>
      <c r="F38" s="22"/>
      <c r="G38" s="23" t="n">
        <f aca="false">SUM(G34:G37)</f>
        <v>77600</v>
      </c>
      <c r="H38" s="23" t="n">
        <f aca="false">SUM(H34:H37)</f>
        <v>0</v>
      </c>
      <c r="I38" s="24"/>
    </row>
    <row r="39" customFormat="false" ht="21.75" hidden="false" customHeight="true" outlineLevel="0" collapsed="false">
      <c r="A39" s="15" t="s">
        <v>155</v>
      </c>
      <c r="B39" s="15"/>
      <c r="C39" s="15"/>
      <c r="D39" s="15"/>
      <c r="E39" s="15"/>
      <c r="F39" s="15"/>
      <c r="G39" s="15"/>
      <c r="H39" s="15"/>
      <c r="I39" s="15"/>
    </row>
    <row r="40" customFormat="false" ht="27.75" hidden="false" customHeight="true" outlineLevel="0" collapsed="false">
      <c r="A40" s="16" t="n">
        <v>25</v>
      </c>
      <c r="B40" s="17" t="s">
        <v>156</v>
      </c>
      <c r="C40" s="18" t="s">
        <v>157</v>
      </c>
      <c r="D40" s="16" t="s">
        <v>71</v>
      </c>
      <c r="E40" s="19" t="n">
        <v>4</v>
      </c>
      <c r="F40" s="20" t="n">
        <v>8500</v>
      </c>
      <c r="G40" s="21" t="n">
        <f aca="false">E40*F40</f>
        <v>34000</v>
      </c>
      <c r="H40" s="20"/>
      <c r="I40" s="18" t="s">
        <v>158</v>
      </c>
    </row>
    <row r="41" customFormat="false" ht="21.75" hidden="false" customHeight="true" outlineLevel="0" collapsed="false">
      <c r="A41" s="16" t="n">
        <v>26</v>
      </c>
      <c r="B41" s="17" t="s">
        <v>159</v>
      </c>
      <c r="C41" s="18" t="s">
        <v>160</v>
      </c>
      <c r="D41" s="16" t="s">
        <v>71</v>
      </c>
      <c r="E41" s="19" t="n">
        <v>2</v>
      </c>
      <c r="F41" s="20" t="n">
        <v>15000</v>
      </c>
      <c r="G41" s="21" t="n">
        <f aca="false">E41*F41</f>
        <v>30000</v>
      </c>
      <c r="H41" s="20"/>
      <c r="I41" s="18" t="s">
        <v>161</v>
      </c>
    </row>
    <row r="42" customFormat="false" ht="21.75" hidden="false" customHeight="true" outlineLevel="0" collapsed="false">
      <c r="A42" s="16" t="n">
        <v>27</v>
      </c>
      <c r="B42" s="17" t="s">
        <v>162</v>
      </c>
      <c r="C42" s="18" t="s">
        <v>163</v>
      </c>
      <c r="D42" s="16" t="s">
        <v>105</v>
      </c>
      <c r="E42" s="19" t="n">
        <v>2</v>
      </c>
      <c r="F42" s="20" t="n">
        <v>5500</v>
      </c>
      <c r="G42" s="21" t="n">
        <f aca="false">E42*F42</f>
        <v>11000</v>
      </c>
      <c r="H42" s="20"/>
      <c r="I42" s="18" t="s">
        <v>164</v>
      </c>
    </row>
    <row r="43" customFormat="false" ht="21.75" hidden="false" customHeight="true" outlineLevel="0" collapsed="false">
      <c r="A43" s="16" t="n">
        <v>28</v>
      </c>
      <c r="B43" s="17" t="s">
        <v>165</v>
      </c>
      <c r="C43" s="18" t="s">
        <v>166</v>
      </c>
      <c r="D43" s="16" t="s">
        <v>71</v>
      </c>
      <c r="E43" s="19" t="n">
        <v>4</v>
      </c>
      <c r="F43" s="20" t="n">
        <v>3800</v>
      </c>
      <c r="G43" s="21" t="n">
        <f aca="false">E43*F43</f>
        <v>15200</v>
      </c>
      <c r="H43" s="20"/>
      <c r="I43" s="18" t="s">
        <v>167</v>
      </c>
    </row>
    <row r="44" customFormat="false" ht="21.75" hidden="false" customHeight="true" outlineLevel="0" collapsed="false">
      <c r="A44" s="16" t="n">
        <v>29</v>
      </c>
      <c r="B44" s="17" t="s">
        <v>168</v>
      </c>
      <c r="C44" s="18" t="s">
        <v>169</v>
      </c>
      <c r="D44" s="16" t="s">
        <v>105</v>
      </c>
      <c r="E44" s="19" t="n">
        <v>2</v>
      </c>
      <c r="F44" s="20" t="n">
        <v>8000</v>
      </c>
      <c r="G44" s="21" t="n">
        <f aca="false">E44*F44</f>
        <v>16000</v>
      </c>
      <c r="H44" s="20"/>
      <c r="I44" s="18" t="s">
        <v>170</v>
      </c>
    </row>
    <row r="45" customFormat="false" ht="21.75" hidden="false" customHeight="true" outlineLevel="0" collapsed="false">
      <c r="A45" s="22" t="s">
        <v>171</v>
      </c>
      <c r="B45" s="22"/>
      <c r="C45" s="22"/>
      <c r="D45" s="22"/>
      <c r="E45" s="22"/>
      <c r="F45" s="22"/>
      <c r="G45" s="23" t="n">
        <f aca="false">SUM(G41:G44)</f>
        <v>72200</v>
      </c>
      <c r="H45" s="23" t="n">
        <f aca="false">SUM(H41:H44)</f>
        <v>0</v>
      </c>
      <c r="I45" s="24"/>
    </row>
    <row r="46" customFormat="false" ht="21.75" hidden="false" customHeight="true" outlineLevel="0" collapsed="false">
      <c r="A46" s="15" t="s">
        <v>172</v>
      </c>
      <c r="B46" s="15"/>
      <c r="C46" s="15"/>
      <c r="D46" s="15"/>
      <c r="E46" s="15"/>
      <c r="F46" s="15"/>
      <c r="G46" s="15"/>
      <c r="H46" s="15"/>
      <c r="I46" s="15"/>
    </row>
    <row r="47" customFormat="false" ht="21.75" hidden="false" customHeight="true" outlineLevel="0" collapsed="false">
      <c r="A47" s="16" t="n">
        <v>30</v>
      </c>
      <c r="B47" s="17" t="s">
        <v>173</v>
      </c>
      <c r="C47" s="18" t="s">
        <v>174</v>
      </c>
      <c r="D47" s="16" t="s">
        <v>71</v>
      </c>
      <c r="E47" s="19" t="n">
        <v>20</v>
      </c>
      <c r="F47" s="20" t="n">
        <v>2500</v>
      </c>
      <c r="G47" s="21" t="n">
        <f aca="false">E47*F47</f>
        <v>50000</v>
      </c>
      <c r="H47" s="20"/>
      <c r="I47" s="18" t="s">
        <v>175</v>
      </c>
    </row>
    <row r="48" customFormat="false" ht="21.75" hidden="false" customHeight="true" outlineLevel="0" collapsed="false">
      <c r="A48" s="16" t="n">
        <v>31</v>
      </c>
      <c r="B48" s="17" t="s">
        <v>176</v>
      </c>
      <c r="C48" s="18" t="s">
        <v>177</v>
      </c>
      <c r="D48" s="16" t="s">
        <v>71</v>
      </c>
      <c r="E48" s="19" t="n">
        <v>30</v>
      </c>
      <c r="F48" s="20" t="n">
        <v>150</v>
      </c>
      <c r="G48" s="21" t="n">
        <f aca="false">E48*F48</f>
        <v>4500</v>
      </c>
      <c r="H48" s="20"/>
      <c r="I48" s="18" t="s">
        <v>178</v>
      </c>
    </row>
    <row r="49" customFormat="false" ht="21.75" hidden="false" customHeight="true" outlineLevel="0" collapsed="false">
      <c r="A49" s="16" t="n">
        <v>32</v>
      </c>
      <c r="B49" s="17" t="s">
        <v>179</v>
      </c>
      <c r="C49" s="18" t="s">
        <v>180</v>
      </c>
      <c r="D49" s="16" t="s">
        <v>71</v>
      </c>
      <c r="E49" s="19" t="n">
        <v>10</v>
      </c>
      <c r="F49" s="20" t="n">
        <v>1200</v>
      </c>
      <c r="G49" s="21" t="n">
        <f aca="false">E49*F49</f>
        <v>12000</v>
      </c>
      <c r="H49" s="20"/>
      <c r="I49" s="18" t="s">
        <v>181</v>
      </c>
    </row>
    <row r="50" customFormat="false" ht="21.75" hidden="false" customHeight="true" outlineLevel="0" collapsed="false">
      <c r="A50" s="16" t="n">
        <v>33</v>
      </c>
      <c r="B50" s="17" t="s">
        <v>182</v>
      </c>
      <c r="C50" s="18" t="s">
        <v>183</v>
      </c>
      <c r="D50" s="16" t="s">
        <v>71</v>
      </c>
      <c r="E50" s="19" t="n">
        <v>2</v>
      </c>
      <c r="F50" s="20" t="n">
        <v>8500</v>
      </c>
      <c r="G50" s="21" t="n">
        <f aca="false">E50*F50</f>
        <v>17000</v>
      </c>
      <c r="H50" s="20"/>
      <c r="I50" s="18" t="s">
        <v>184</v>
      </c>
    </row>
    <row r="51" customFormat="false" ht="21.75" hidden="false" customHeight="true" outlineLevel="0" collapsed="false">
      <c r="A51" s="16" t="n">
        <v>34</v>
      </c>
      <c r="B51" s="17" t="s">
        <v>185</v>
      </c>
      <c r="C51" s="18" t="s">
        <v>186</v>
      </c>
      <c r="D51" s="16" t="s">
        <v>71</v>
      </c>
      <c r="E51" s="19" t="n">
        <v>10</v>
      </c>
      <c r="F51" s="20" t="n">
        <v>1800</v>
      </c>
      <c r="G51" s="21" t="n">
        <f aca="false">E51*F51</f>
        <v>18000</v>
      </c>
      <c r="H51" s="20"/>
      <c r="I51" s="18" t="s">
        <v>181</v>
      </c>
    </row>
    <row r="52" customFormat="false" ht="21.75" hidden="false" customHeight="true" outlineLevel="0" collapsed="false">
      <c r="A52" s="16" t="n">
        <v>35</v>
      </c>
      <c r="B52" s="17" t="s">
        <v>187</v>
      </c>
      <c r="C52" s="18" t="s">
        <v>188</v>
      </c>
      <c r="D52" s="16" t="s">
        <v>71</v>
      </c>
      <c r="E52" s="19" t="n">
        <v>2</v>
      </c>
      <c r="F52" s="20" t="n">
        <v>12000</v>
      </c>
      <c r="G52" s="21" t="n">
        <f aca="false">E52*F52</f>
        <v>24000</v>
      </c>
      <c r="H52" s="20"/>
      <c r="I52" s="18" t="s">
        <v>181</v>
      </c>
    </row>
    <row r="53" customFormat="false" ht="21.75" hidden="false" customHeight="true" outlineLevel="0" collapsed="false">
      <c r="A53" s="16" t="n">
        <v>36</v>
      </c>
      <c r="B53" s="17" t="s">
        <v>189</v>
      </c>
      <c r="C53" s="18" t="s">
        <v>190</v>
      </c>
      <c r="D53" s="16" t="s">
        <v>71</v>
      </c>
      <c r="E53" s="19" t="n">
        <v>10</v>
      </c>
      <c r="F53" s="20" t="n">
        <v>850</v>
      </c>
      <c r="G53" s="21" t="n">
        <f aca="false">E53*F53</f>
        <v>8500</v>
      </c>
      <c r="H53" s="20"/>
      <c r="I53" s="18" t="s">
        <v>191</v>
      </c>
    </row>
    <row r="54" customFormat="false" ht="21.75" hidden="false" customHeight="true" outlineLevel="0" collapsed="false">
      <c r="A54" s="16" t="n">
        <v>37</v>
      </c>
      <c r="B54" s="17" t="s">
        <v>192</v>
      </c>
      <c r="C54" s="18" t="s">
        <v>193</v>
      </c>
      <c r="D54" s="16" t="s">
        <v>71</v>
      </c>
      <c r="E54" s="19" t="n">
        <v>2</v>
      </c>
      <c r="F54" s="20" t="n">
        <v>18000</v>
      </c>
      <c r="G54" s="21" t="n">
        <f aca="false">E54*F54</f>
        <v>36000</v>
      </c>
      <c r="H54" s="20"/>
      <c r="I54" s="18" t="s">
        <v>194</v>
      </c>
    </row>
    <row r="55" customFormat="false" ht="27.75" hidden="false" customHeight="true" outlineLevel="0" collapsed="false">
      <c r="A55" s="16" t="n">
        <v>38</v>
      </c>
      <c r="B55" s="17" t="s">
        <v>195</v>
      </c>
      <c r="C55" s="18" t="s">
        <v>196</v>
      </c>
      <c r="D55" s="16" t="s">
        <v>71</v>
      </c>
      <c r="E55" s="19" t="n">
        <v>1</v>
      </c>
      <c r="F55" s="20" t="n">
        <v>35000</v>
      </c>
      <c r="G55" s="21" t="n">
        <f aca="false">E55*F55</f>
        <v>35000</v>
      </c>
      <c r="H55" s="20"/>
      <c r="I55" s="18" t="s">
        <v>197</v>
      </c>
    </row>
    <row r="56" customFormat="false" ht="21.75" hidden="false" customHeight="true" outlineLevel="0" collapsed="false">
      <c r="A56" s="16" t="n">
        <v>39</v>
      </c>
      <c r="B56" s="17" t="s">
        <v>198</v>
      </c>
      <c r="C56" s="18" t="s">
        <v>199</v>
      </c>
      <c r="D56" s="16" t="s">
        <v>71</v>
      </c>
      <c r="E56" s="19" t="n">
        <v>4</v>
      </c>
      <c r="F56" s="20" t="n">
        <v>1200</v>
      </c>
      <c r="G56" s="21" t="n">
        <f aca="false">E56*F56</f>
        <v>4800</v>
      </c>
      <c r="H56" s="20"/>
      <c r="I56" s="18" t="s">
        <v>200</v>
      </c>
    </row>
    <row r="57" customFormat="false" ht="21.75" hidden="false" customHeight="true" outlineLevel="0" collapsed="false">
      <c r="A57" s="22" t="s">
        <v>201</v>
      </c>
      <c r="B57" s="22"/>
      <c r="C57" s="22"/>
      <c r="D57" s="22"/>
      <c r="E57" s="22"/>
      <c r="F57" s="22"/>
      <c r="G57" s="23" t="n">
        <f aca="false">SUM(G48:G56)</f>
        <v>159800</v>
      </c>
      <c r="H57" s="23" t="n">
        <f aca="false">SUM(H48:H56)</f>
        <v>0</v>
      </c>
      <c r="I57" s="24"/>
    </row>
    <row r="58" customFormat="false" ht="21.75" hidden="false" customHeight="true" outlineLevel="0" collapsed="false">
      <c r="A58" s="15" t="s">
        <v>202</v>
      </c>
      <c r="B58" s="15"/>
      <c r="C58" s="15"/>
      <c r="D58" s="15"/>
      <c r="E58" s="15"/>
      <c r="F58" s="15"/>
      <c r="G58" s="15"/>
      <c r="H58" s="15"/>
      <c r="I58" s="15"/>
    </row>
    <row r="59" customFormat="false" ht="21.75" hidden="false" customHeight="true" outlineLevel="0" collapsed="false">
      <c r="A59" s="16" t="n">
        <v>40</v>
      </c>
      <c r="B59" s="17" t="s">
        <v>203</v>
      </c>
      <c r="C59" s="18" t="s">
        <v>204</v>
      </c>
      <c r="D59" s="16" t="s">
        <v>71</v>
      </c>
      <c r="E59" s="19" t="n">
        <v>20</v>
      </c>
      <c r="F59" s="20" t="n">
        <v>800</v>
      </c>
      <c r="G59" s="21" t="n">
        <f aca="false">E59*F59</f>
        <v>16000</v>
      </c>
      <c r="H59" s="20"/>
      <c r="I59" s="18" t="s">
        <v>205</v>
      </c>
    </row>
    <row r="60" customFormat="false" ht="21.75" hidden="false" customHeight="true" outlineLevel="0" collapsed="false">
      <c r="A60" s="16" t="n">
        <v>41</v>
      </c>
      <c r="B60" s="17" t="s">
        <v>206</v>
      </c>
      <c r="C60" s="18" t="s">
        <v>207</v>
      </c>
      <c r="D60" s="16" t="s">
        <v>71</v>
      </c>
      <c r="E60" s="19" t="n">
        <v>4</v>
      </c>
      <c r="F60" s="20" t="n">
        <v>4500</v>
      </c>
      <c r="G60" s="21" t="n">
        <f aca="false">E60*F60</f>
        <v>18000</v>
      </c>
      <c r="H60" s="20"/>
      <c r="I60" s="18" t="s">
        <v>208</v>
      </c>
    </row>
    <row r="61" customFormat="false" ht="21.75" hidden="false" customHeight="true" outlineLevel="0" collapsed="false">
      <c r="A61" s="16" t="n">
        <v>42</v>
      </c>
      <c r="B61" s="17" t="s">
        <v>209</v>
      </c>
      <c r="C61" s="18" t="s">
        <v>210</v>
      </c>
      <c r="D61" s="16" t="s">
        <v>75</v>
      </c>
      <c r="E61" s="19" t="n">
        <v>5</v>
      </c>
      <c r="F61" s="20" t="n">
        <v>650</v>
      </c>
      <c r="G61" s="21" t="n">
        <f aca="false">E61*F61</f>
        <v>3250</v>
      </c>
      <c r="H61" s="20"/>
      <c r="I61" s="18" t="s">
        <v>211</v>
      </c>
    </row>
    <row r="62" customFormat="false" ht="21.75" hidden="false" customHeight="true" outlineLevel="0" collapsed="false">
      <c r="A62" s="16" t="n">
        <v>43</v>
      </c>
      <c r="B62" s="17" t="s">
        <v>212</v>
      </c>
      <c r="C62" s="18" t="s">
        <v>213</v>
      </c>
      <c r="D62" s="16" t="s">
        <v>71</v>
      </c>
      <c r="E62" s="19" t="n">
        <v>6</v>
      </c>
      <c r="F62" s="20" t="n">
        <v>2200</v>
      </c>
      <c r="G62" s="21" t="n">
        <f aca="false">E62*F62</f>
        <v>13200</v>
      </c>
      <c r="H62" s="20"/>
      <c r="I62" s="18" t="s">
        <v>167</v>
      </c>
    </row>
    <row r="63" customFormat="false" ht="21.75" hidden="false" customHeight="true" outlineLevel="0" collapsed="false">
      <c r="A63" s="16" t="n">
        <v>44</v>
      </c>
      <c r="B63" s="17" t="s">
        <v>214</v>
      </c>
      <c r="C63" s="18" t="s">
        <v>215</v>
      </c>
      <c r="D63" s="16" t="s">
        <v>71</v>
      </c>
      <c r="E63" s="19" t="n">
        <v>4</v>
      </c>
      <c r="F63" s="20" t="n">
        <v>5500</v>
      </c>
      <c r="G63" s="21" t="n">
        <f aca="false">E63*F63</f>
        <v>22000</v>
      </c>
      <c r="H63" s="20"/>
      <c r="I63" s="18" t="s">
        <v>216</v>
      </c>
    </row>
    <row r="64" customFormat="false" ht="21.75" hidden="false" customHeight="true" outlineLevel="0" collapsed="false">
      <c r="A64" s="16" t="n">
        <v>45</v>
      </c>
      <c r="B64" s="17" t="s">
        <v>217</v>
      </c>
      <c r="C64" s="18" t="s">
        <v>218</v>
      </c>
      <c r="D64" s="16" t="s">
        <v>71</v>
      </c>
      <c r="E64" s="19" t="n">
        <v>6</v>
      </c>
      <c r="F64" s="20" t="n">
        <v>3500</v>
      </c>
      <c r="G64" s="21" t="n">
        <f aca="false">E64*F64</f>
        <v>21000</v>
      </c>
      <c r="H64" s="20"/>
      <c r="I64" s="18" t="s">
        <v>181</v>
      </c>
    </row>
    <row r="65" customFormat="false" ht="21.75" hidden="false" customHeight="true" outlineLevel="0" collapsed="false">
      <c r="A65" s="16" t="n">
        <v>46</v>
      </c>
      <c r="B65" s="17" t="s">
        <v>219</v>
      </c>
      <c r="C65" s="18" t="s">
        <v>220</v>
      </c>
      <c r="D65" s="16" t="s">
        <v>105</v>
      </c>
      <c r="E65" s="19" t="n">
        <v>2</v>
      </c>
      <c r="F65" s="20" t="n">
        <v>4500</v>
      </c>
      <c r="G65" s="21" t="n">
        <f aca="false">E65*F65</f>
        <v>9000</v>
      </c>
      <c r="H65" s="20"/>
      <c r="I65" s="18" t="s">
        <v>221</v>
      </c>
    </row>
    <row r="66" customFormat="false" ht="21.75" hidden="false" customHeight="true" outlineLevel="0" collapsed="false">
      <c r="A66" s="22" t="s">
        <v>222</v>
      </c>
      <c r="B66" s="22"/>
      <c r="C66" s="22"/>
      <c r="D66" s="22"/>
      <c r="E66" s="22"/>
      <c r="F66" s="22"/>
      <c r="G66" s="23" t="n">
        <f aca="false">SUM(G60:G65)</f>
        <v>86450</v>
      </c>
      <c r="H66" s="23" t="n">
        <f aca="false">SUM(H60:H65)</f>
        <v>0</v>
      </c>
      <c r="I66" s="24"/>
    </row>
    <row r="67" customFormat="false" ht="21.75" hidden="false" customHeight="true" outlineLevel="0" collapsed="false">
      <c r="A67" s="15" t="s">
        <v>223</v>
      </c>
      <c r="B67" s="15"/>
      <c r="C67" s="15"/>
      <c r="D67" s="15"/>
      <c r="E67" s="15"/>
      <c r="F67" s="15"/>
      <c r="G67" s="15"/>
      <c r="H67" s="15"/>
      <c r="I67" s="15"/>
    </row>
    <row r="68" customFormat="false" ht="21.75" hidden="false" customHeight="true" outlineLevel="0" collapsed="false">
      <c r="A68" s="16" t="n">
        <v>47</v>
      </c>
      <c r="B68" s="17" t="s">
        <v>224</v>
      </c>
      <c r="C68" s="18" t="s">
        <v>225</v>
      </c>
      <c r="D68" s="16" t="s">
        <v>226</v>
      </c>
      <c r="E68" s="19" t="n">
        <v>2</v>
      </c>
      <c r="F68" s="20" t="n">
        <v>85000</v>
      </c>
      <c r="G68" s="21" t="n">
        <f aca="false">E68*F68</f>
        <v>170000</v>
      </c>
      <c r="H68" s="20"/>
      <c r="I68" s="18" t="s">
        <v>227</v>
      </c>
    </row>
    <row r="69" customFormat="false" ht="27.75" hidden="false" customHeight="true" outlineLevel="0" collapsed="false">
      <c r="A69" s="16" t="n">
        <v>48</v>
      </c>
      <c r="B69" s="17" t="s">
        <v>228</v>
      </c>
      <c r="C69" s="18" t="s">
        <v>229</v>
      </c>
      <c r="D69" s="16" t="s">
        <v>230</v>
      </c>
      <c r="E69" s="19" t="n">
        <v>1</v>
      </c>
      <c r="F69" s="20" t="n">
        <v>125000</v>
      </c>
      <c r="G69" s="21" t="n">
        <f aca="false">E69*F69</f>
        <v>125000</v>
      </c>
      <c r="H69" s="20"/>
      <c r="I69" s="18" t="s">
        <v>231</v>
      </c>
    </row>
    <row r="70" customFormat="false" ht="21.75" hidden="false" customHeight="true" outlineLevel="0" collapsed="false">
      <c r="A70" s="16" t="n">
        <v>49</v>
      </c>
      <c r="B70" s="17" t="s">
        <v>232</v>
      </c>
      <c r="C70" s="18" t="s">
        <v>233</v>
      </c>
      <c r="D70" s="16" t="s">
        <v>226</v>
      </c>
      <c r="E70" s="19" t="n">
        <v>2</v>
      </c>
      <c r="F70" s="20" t="n">
        <v>45000</v>
      </c>
      <c r="G70" s="21" t="n">
        <f aca="false">E70*F70</f>
        <v>90000</v>
      </c>
      <c r="H70" s="20"/>
      <c r="I70" s="18" t="s">
        <v>234</v>
      </c>
    </row>
    <row r="71" customFormat="false" ht="27.75" hidden="false" customHeight="true" outlineLevel="0" collapsed="false">
      <c r="A71" s="16" t="n">
        <v>50</v>
      </c>
      <c r="B71" s="17" t="s">
        <v>235</v>
      </c>
      <c r="C71" s="18" t="s">
        <v>236</v>
      </c>
      <c r="D71" s="16" t="s">
        <v>226</v>
      </c>
      <c r="E71" s="19" t="n">
        <v>2</v>
      </c>
      <c r="F71" s="20" t="n">
        <v>55000</v>
      </c>
      <c r="G71" s="21" t="n">
        <f aca="false">E71*F71</f>
        <v>110000</v>
      </c>
      <c r="H71" s="20"/>
      <c r="I71" s="18" t="s">
        <v>237</v>
      </c>
    </row>
    <row r="72" customFormat="false" ht="27.75" hidden="false" customHeight="true" outlineLevel="0" collapsed="false">
      <c r="A72" s="16" t="n">
        <v>51</v>
      </c>
      <c r="B72" s="17" t="s">
        <v>238</v>
      </c>
      <c r="C72" s="18" t="s">
        <v>239</v>
      </c>
      <c r="D72" s="16" t="s">
        <v>226</v>
      </c>
      <c r="E72" s="19" t="n">
        <v>1</v>
      </c>
      <c r="F72" s="20" t="n">
        <v>150000</v>
      </c>
      <c r="G72" s="21" t="n">
        <f aca="false">E72*F72</f>
        <v>150000</v>
      </c>
      <c r="H72" s="20"/>
      <c r="I72" s="18" t="s">
        <v>240</v>
      </c>
    </row>
    <row r="73" customFormat="false" ht="21.75" hidden="false" customHeight="true" outlineLevel="0" collapsed="false">
      <c r="A73" s="16" t="n">
        <v>52</v>
      </c>
      <c r="B73" s="17" t="s">
        <v>241</v>
      </c>
      <c r="C73" s="18" t="s">
        <v>242</v>
      </c>
      <c r="D73" s="16" t="s">
        <v>226</v>
      </c>
      <c r="E73" s="19" t="n">
        <v>2</v>
      </c>
      <c r="F73" s="20" t="n">
        <v>35000</v>
      </c>
      <c r="G73" s="21" t="n">
        <f aca="false">E73*F73</f>
        <v>70000</v>
      </c>
      <c r="H73" s="20"/>
      <c r="I73" s="18" t="s">
        <v>234</v>
      </c>
    </row>
    <row r="74" customFormat="false" ht="21.75" hidden="false" customHeight="true" outlineLevel="0" collapsed="false">
      <c r="A74" s="16" t="n">
        <v>53</v>
      </c>
      <c r="B74" s="17" t="s">
        <v>243</v>
      </c>
      <c r="C74" s="18" t="s">
        <v>244</v>
      </c>
      <c r="D74" s="16" t="s">
        <v>226</v>
      </c>
      <c r="E74" s="19" t="n">
        <v>2</v>
      </c>
      <c r="F74" s="20" t="n">
        <v>25000</v>
      </c>
      <c r="G74" s="21" t="n">
        <f aca="false">E74*F74</f>
        <v>50000</v>
      </c>
      <c r="H74" s="20"/>
      <c r="I74" s="18" t="s">
        <v>245</v>
      </c>
    </row>
    <row r="75" customFormat="false" ht="21.75" hidden="false" customHeight="true" outlineLevel="0" collapsed="false">
      <c r="A75" s="22" t="s">
        <v>246</v>
      </c>
      <c r="B75" s="22"/>
      <c r="C75" s="22"/>
      <c r="D75" s="22"/>
      <c r="E75" s="22"/>
      <c r="F75" s="22"/>
      <c r="G75" s="23" t="n">
        <f aca="false">SUM(G69:G74)</f>
        <v>595000</v>
      </c>
      <c r="H75" s="23" t="n">
        <f aca="false">SUM(H69:H74)</f>
        <v>0</v>
      </c>
      <c r="I75" s="24"/>
    </row>
    <row r="76" customFormat="false" ht="21.75" hidden="false" customHeight="true" outlineLevel="0" collapsed="false">
      <c r="A76" s="15" t="s">
        <v>247</v>
      </c>
      <c r="B76" s="15"/>
      <c r="C76" s="15"/>
      <c r="D76" s="15"/>
      <c r="E76" s="15"/>
      <c r="F76" s="15"/>
      <c r="G76" s="15"/>
      <c r="H76" s="15"/>
      <c r="I76" s="15"/>
    </row>
    <row r="77" customFormat="false" ht="21.75" hidden="false" customHeight="true" outlineLevel="0" collapsed="false">
      <c r="A77" s="16" t="n">
        <v>54</v>
      </c>
      <c r="B77" s="17" t="s">
        <v>248</v>
      </c>
      <c r="C77" s="18" t="s">
        <v>249</v>
      </c>
      <c r="D77" s="16" t="s">
        <v>71</v>
      </c>
      <c r="E77" s="19" t="n">
        <v>100</v>
      </c>
      <c r="F77" s="20" t="n">
        <v>120</v>
      </c>
      <c r="G77" s="21" t="n">
        <f aca="false">E77*F77</f>
        <v>12000</v>
      </c>
      <c r="H77" s="20"/>
      <c r="I77" s="18" t="s">
        <v>250</v>
      </c>
    </row>
    <row r="78" customFormat="false" ht="21.75" hidden="false" customHeight="true" outlineLevel="0" collapsed="false">
      <c r="A78" s="16" t="n">
        <v>55</v>
      </c>
      <c r="B78" s="17" t="s">
        <v>251</v>
      </c>
      <c r="C78" s="18" t="s">
        <v>252</v>
      </c>
      <c r="D78" s="16" t="s">
        <v>71</v>
      </c>
      <c r="E78" s="19" t="n">
        <v>24</v>
      </c>
      <c r="F78" s="20" t="n">
        <v>350</v>
      </c>
      <c r="G78" s="21" t="n">
        <f aca="false">E78*F78</f>
        <v>8400</v>
      </c>
      <c r="H78" s="20"/>
      <c r="I78" s="18" t="s">
        <v>253</v>
      </c>
    </row>
    <row r="79" customFormat="false" ht="21.75" hidden="false" customHeight="true" outlineLevel="0" collapsed="false">
      <c r="A79" s="16" t="n">
        <v>56</v>
      </c>
      <c r="B79" s="17" t="s">
        <v>254</v>
      </c>
      <c r="C79" s="18" t="s">
        <v>255</v>
      </c>
      <c r="D79" s="16" t="s">
        <v>256</v>
      </c>
      <c r="E79" s="19" t="n">
        <v>24</v>
      </c>
      <c r="F79" s="20" t="n">
        <v>280</v>
      </c>
      <c r="G79" s="21" t="n">
        <f aca="false">E79*F79</f>
        <v>6720</v>
      </c>
      <c r="H79" s="20"/>
      <c r="I79" s="18" t="s">
        <v>257</v>
      </c>
    </row>
    <row r="80" customFormat="false" ht="21.75" hidden="false" customHeight="true" outlineLevel="0" collapsed="false">
      <c r="A80" s="16" t="n">
        <v>57</v>
      </c>
      <c r="B80" s="17" t="s">
        <v>258</v>
      </c>
      <c r="C80" s="18" t="s">
        <v>259</v>
      </c>
      <c r="D80" s="16" t="s">
        <v>260</v>
      </c>
      <c r="E80" s="19" t="n">
        <v>12</v>
      </c>
      <c r="F80" s="20" t="n">
        <v>450</v>
      </c>
      <c r="G80" s="21" t="n">
        <f aca="false">E80*F80</f>
        <v>5400</v>
      </c>
      <c r="H80" s="20"/>
      <c r="I80" s="18" t="s">
        <v>261</v>
      </c>
    </row>
    <row r="81" customFormat="false" ht="21.75" hidden="false" customHeight="true" outlineLevel="0" collapsed="false">
      <c r="A81" s="16" t="n">
        <v>58</v>
      </c>
      <c r="B81" s="17" t="s">
        <v>262</v>
      </c>
      <c r="C81" s="18" t="s">
        <v>263</v>
      </c>
      <c r="D81" s="16" t="s">
        <v>256</v>
      </c>
      <c r="E81" s="19" t="n">
        <v>12</v>
      </c>
      <c r="F81" s="20" t="n">
        <v>1800</v>
      </c>
      <c r="G81" s="21" t="n">
        <f aca="false">E81*F81</f>
        <v>21600</v>
      </c>
      <c r="H81" s="20"/>
      <c r="I81" s="18" t="s">
        <v>264</v>
      </c>
    </row>
    <row r="82" customFormat="false" ht="21.75" hidden="false" customHeight="true" outlineLevel="0" collapsed="false">
      <c r="A82" s="16" t="n">
        <v>59</v>
      </c>
      <c r="B82" s="17" t="s">
        <v>265</v>
      </c>
      <c r="C82" s="18" t="s">
        <v>266</v>
      </c>
      <c r="D82" s="16" t="s">
        <v>71</v>
      </c>
      <c r="E82" s="19" t="n">
        <v>24</v>
      </c>
      <c r="F82" s="20" t="n">
        <v>180</v>
      </c>
      <c r="G82" s="21" t="n">
        <f aca="false">E82*F82</f>
        <v>4320</v>
      </c>
      <c r="H82" s="20"/>
      <c r="I82" s="18" t="s">
        <v>267</v>
      </c>
    </row>
    <row r="83" customFormat="false" ht="21.75" hidden="false" customHeight="true" outlineLevel="0" collapsed="false">
      <c r="A83" s="16" t="n">
        <v>60</v>
      </c>
      <c r="B83" s="17" t="s">
        <v>268</v>
      </c>
      <c r="C83" s="18" t="s">
        <v>269</v>
      </c>
      <c r="D83" s="16" t="s">
        <v>148</v>
      </c>
      <c r="E83" s="19" t="n">
        <v>1</v>
      </c>
      <c r="F83" s="20" t="n">
        <v>15000</v>
      </c>
      <c r="G83" s="21" t="n">
        <f aca="false">E83*F83</f>
        <v>15000</v>
      </c>
      <c r="H83" s="20"/>
      <c r="I83" s="18" t="s">
        <v>270</v>
      </c>
    </row>
    <row r="84" customFormat="false" ht="21.75" hidden="false" customHeight="true" outlineLevel="0" collapsed="false">
      <c r="A84" s="16" t="n">
        <v>61</v>
      </c>
      <c r="B84" s="17" t="s">
        <v>271</v>
      </c>
      <c r="C84" s="18" t="s">
        <v>272</v>
      </c>
      <c r="D84" s="16" t="s">
        <v>71</v>
      </c>
      <c r="E84" s="19" t="n">
        <v>24</v>
      </c>
      <c r="F84" s="20" t="n">
        <v>2500</v>
      </c>
      <c r="G84" s="21" t="n">
        <f aca="false">E84*F84</f>
        <v>60000</v>
      </c>
      <c r="H84" s="20"/>
      <c r="I84" s="18" t="s">
        <v>273</v>
      </c>
    </row>
    <row r="85" customFormat="false" ht="21.75" hidden="false" customHeight="true" outlineLevel="0" collapsed="false">
      <c r="A85" s="22" t="s">
        <v>274</v>
      </c>
      <c r="B85" s="22"/>
      <c r="C85" s="22"/>
      <c r="D85" s="22"/>
      <c r="E85" s="22"/>
      <c r="F85" s="22"/>
      <c r="G85" s="23" t="n">
        <f aca="false">SUM(G78:G84)</f>
        <v>121440</v>
      </c>
      <c r="H85" s="23" t="n">
        <f aca="false">SUM(H78:H84)</f>
        <v>0</v>
      </c>
      <c r="I85" s="24"/>
    </row>
    <row r="86" customFormat="false" ht="21.75" hidden="false" customHeight="true" outlineLevel="0" collapsed="false">
      <c r="A86" s="15" t="s">
        <v>275</v>
      </c>
      <c r="B86" s="15"/>
      <c r="C86" s="15"/>
      <c r="D86" s="15"/>
      <c r="E86" s="15"/>
      <c r="F86" s="15"/>
      <c r="G86" s="15"/>
      <c r="H86" s="15"/>
      <c r="I86" s="15"/>
    </row>
    <row r="87" customFormat="false" ht="21.75" hidden="false" customHeight="true" outlineLevel="0" collapsed="false">
      <c r="A87" s="16" t="n">
        <v>62</v>
      </c>
      <c r="B87" s="17" t="s">
        <v>276</v>
      </c>
      <c r="C87" s="18" t="s">
        <v>277</v>
      </c>
      <c r="D87" s="16" t="s">
        <v>105</v>
      </c>
      <c r="E87" s="19" t="n">
        <v>1</v>
      </c>
      <c r="F87" s="20" t="n">
        <v>25000</v>
      </c>
      <c r="G87" s="21" t="n">
        <f aca="false">E87*F87</f>
        <v>25000</v>
      </c>
      <c r="H87" s="20"/>
      <c r="I87" s="18" t="s">
        <v>278</v>
      </c>
    </row>
    <row r="88" customFormat="false" ht="21.75" hidden="false" customHeight="true" outlineLevel="0" collapsed="false">
      <c r="A88" s="16" t="n">
        <v>63</v>
      </c>
      <c r="B88" s="17" t="s">
        <v>279</v>
      </c>
      <c r="C88" s="18" t="s">
        <v>280</v>
      </c>
      <c r="D88" s="16" t="s">
        <v>105</v>
      </c>
      <c r="E88" s="19" t="n">
        <v>12</v>
      </c>
      <c r="F88" s="20" t="n">
        <v>850</v>
      </c>
      <c r="G88" s="21" t="n">
        <f aca="false">E88*F88</f>
        <v>10200</v>
      </c>
      <c r="H88" s="20"/>
      <c r="I88" s="18" t="s">
        <v>281</v>
      </c>
    </row>
    <row r="89" customFormat="false" ht="21.75" hidden="false" customHeight="true" outlineLevel="0" collapsed="false">
      <c r="A89" s="16" t="n">
        <v>64</v>
      </c>
      <c r="B89" s="17" t="s">
        <v>282</v>
      </c>
      <c r="C89" s="18" t="s">
        <v>283</v>
      </c>
      <c r="D89" s="16" t="s">
        <v>148</v>
      </c>
      <c r="E89" s="19" t="n">
        <v>1</v>
      </c>
      <c r="F89" s="20" t="n">
        <v>8000</v>
      </c>
      <c r="G89" s="21" t="n">
        <f aca="false">E89*F89</f>
        <v>8000</v>
      </c>
      <c r="H89" s="20"/>
      <c r="I89" s="18" t="s">
        <v>284</v>
      </c>
    </row>
    <row r="90" customFormat="false" ht="21.75" hidden="false" customHeight="true" outlineLevel="0" collapsed="false">
      <c r="A90" s="16" t="n">
        <v>65</v>
      </c>
      <c r="B90" s="17" t="s">
        <v>285</v>
      </c>
      <c r="C90" s="18" t="s">
        <v>286</v>
      </c>
      <c r="D90" s="16" t="s">
        <v>148</v>
      </c>
      <c r="E90" s="19" t="n">
        <v>1</v>
      </c>
      <c r="F90" s="20" t="n">
        <v>12000</v>
      </c>
      <c r="G90" s="21" t="n">
        <f aca="false">E90*F90</f>
        <v>12000</v>
      </c>
      <c r="H90" s="20"/>
      <c r="I90" s="18" t="s">
        <v>287</v>
      </c>
    </row>
    <row r="91" customFormat="false" ht="27.75" hidden="false" customHeight="true" outlineLevel="0" collapsed="false">
      <c r="A91" s="16" t="n">
        <v>66</v>
      </c>
      <c r="B91" s="17" t="s">
        <v>288</v>
      </c>
      <c r="C91" s="18" t="s">
        <v>289</v>
      </c>
      <c r="D91" s="16" t="s">
        <v>148</v>
      </c>
      <c r="E91" s="19" t="n">
        <v>1</v>
      </c>
      <c r="F91" s="20" t="n">
        <v>5000</v>
      </c>
      <c r="G91" s="21" t="n">
        <f aca="false">E91*F91</f>
        <v>5000</v>
      </c>
      <c r="H91" s="20"/>
      <c r="I91" s="18" t="s">
        <v>290</v>
      </c>
    </row>
    <row r="92" customFormat="false" ht="21.75" hidden="false" customHeight="true" outlineLevel="0" collapsed="false">
      <c r="A92" s="16" t="n">
        <v>67</v>
      </c>
      <c r="B92" s="17" t="s">
        <v>291</v>
      </c>
      <c r="C92" s="18" t="s">
        <v>292</v>
      </c>
      <c r="D92" s="16" t="s">
        <v>148</v>
      </c>
      <c r="E92" s="19" t="n">
        <v>1</v>
      </c>
      <c r="F92" s="20" t="n">
        <v>8000</v>
      </c>
      <c r="G92" s="21" t="n">
        <f aca="false">E92*F92</f>
        <v>8000</v>
      </c>
      <c r="H92" s="20"/>
      <c r="I92" s="18" t="s">
        <v>293</v>
      </c>
    </row>
    <row r="93" customFormat="false" ht="21.75" hidden="false" customHeight="true" outlineLevel="0" collapsed="false">
      <c r="A93" s="16" t="n">
        <v>68</v>
      </c>
      <c r="B93" s="17" t="s">
        <v>294</v>
      </c>
      <c r="C93" s="18" t="s">
        <v>295</v>
      </c>
      <c r="D93" s="16" t="s">
        <v>226</v>
      </c>
      <c r="E93" s="19" t="n">
        <v>1</v>
      </c>
      <c r="F93" s="20" t="n">
        <v>20000</v>
      </c>
      <c r="G93" s="21" t="n">
        <f aca="false">E93*F93</f>
        <v>20000</v>
      </c>
      <c r="H93" s="20"/>
      <c r="I93" s="18" t="s">
        <v>296</v>
      </c>
    </row>
    <row r="94" customFormat="false" ht="21.75" hidden="false" customHeight="true" outlineLevel="0" collapsed="false">
      <c r="A94" s="22" t="s">
        <v>297</v>
      </c>
      <c r="B94" s="22"/>
      <c r="C94" s="22"/>
      <c r="D94" s="22"/>
      <c r="E94" s="22"/>
      <c r="F94" s="22"/>
      <c r="G94" s="23" t="n">
        <f aca="false">SUM(G88:G93)</f>
        <v>63200</v>
      </c>
      <c r="H94" s="23" t="n">
        <f aca="false">SUM(H88:H93)</f>
        <v>0</v>
      </c>
      <c r="I94" s="24"/>
    </row>
    <row r="95" customFormat="false" ht="21.75" hidden="false" customHeight="true" outlineLevel="0" collapsed="false">
      <c r="A95" s="15" t="s">
        <v>298</v>
      </c>
      <c r="B95" s="15"/>
      <c r="C95" s="15"/>
      <c r="D95" s="15"/>
      <c r="E95" s="15"/>
      <c r="F95" s="15"/>
      <c r="G95" s="15"/>
      <c r="H95" s="15"/>
      <c r="I95" s="15"/>
    </row>
    <row r="96" customFormat="false" ht="21.75" hidden="false" customHeight="true" outlineLevel="0" collapsed="false">
      <c r="A96" s="16" t="n">
        <v>69</v>
      </c>
      <c r="B96" s="17" t="s">
        <v>299</v>
      </c>
      <c r="C96" s="18" t="s">
        <v>300</v>
      </c>
      <c r="D96" s="16" t="s">
        <v>116</v>
      </c>
      <c r="E96" s="19" t="n">
        <v>50</v>
      </c>
      <c r="F96" s="20" t="n">
        <v>180</v>
      </c>
      <c r="G96" s="21" t="n">
        <f aca="false">E96*F96</f>
        <v>9000</v>
      </c>
      <c r="H96" s="20"/>
      <c r="I96" s="18" t="s">
        <v>301</v>
      </c>
    </row>
    <row r="97" customFormat="false" ht="21.75" hidden="false" customHeight="true" outlineLevel="0" collapsed="false">
      <c r="A97" s="16" t="n">
        <v>70</v>
      </c>
      <c r="B97" s="17" t="s">
        <v>302</v>
      </c>
      <c r="C97" s="18" t="s">
        <v>303</v>
      </c>
      <c r="D97" s="16" t="s">
        <v>260</v>
      </c>
      <c r="E97" s="19" t="n">
        <v>24</v>
      </c>
      <c r="F97" s="20" t="n">
        <v>350</v>
      </c>
      <c r="G97" s="21" t="n">
        <f aca="false">E97*F97</f>
        <v>8400</v>
      </c>
      <c r="H97" s="20"/>
      <c r="I97" s="18" t="s">
        <v>304</v>
      </c>
    </row>
    <row r="98" customFormat="false" ht="27.75" hidden="false" customHeight="true" outlineLevel="0" collapsed="false">
      <c r="A98" s="16" t="n">
        <v>71</v>
      </c>
      <c r="B98" s="17" t="s">
        <v>305</v>
      </c>
      <c r="C98" s="18" t="s">
        <v>306</v>
      </c>
      <c r="D98" s="16" t="s">
        <v>71</v>
      </c>
      <c r="E98" s="19" t="n">
        <v>24</v>
      </c>
      <c r="F98" s="20" t="n">
        <v>280</v>
      </c>
      <c r="G98" s="21" t="n">
        <f aca="false">E98*F98</f>
        <v>6720</v>
      </c>
      <c r="H98" s="20"/>
      <c r="I98" s="18" t="s">
        <v>307</v>
      </c>
    </row>
    <row r="99" customFormat="false" ht="21.75" hidden="false" customHeight="true" outlineLevel="0" collapsed="false">
      <c r="A99" s="16" t="n">
        <v>72</v>
      </c>
      <c r="B99" s="17" t="s">
        <v>308</v>
      </c>
      <c r="C99" s="18" t="s">
        <v>309</v>
      </c>
      <c r="D99" s="16" t="s">
        <v>105</v>
      </c>
      <c r="E99" s="19" t="n">
        <v>4</v>
      </c>
      <c r="F99" s="20" t="n">
        <v>1500</v>
      </c>
      <c r="G99" s="21" t="n">
        <f aca="false">E99*F99</f>
        <v>6000</v>
      </c>
      <c r="H99" s="20"/>
      <c r="I99" s="18" t="s">
        <v>310</v>
      </c>
    </row>
    <row r="100" customFormat="false" ht="21.75" hidden="false" customHeight="true" outlineLevel="0" collapsed="false">
      <c r="A100" s="16" t="n">
        <v>73</v>
      </c>
      <c r="B100" s="17" t="s">
        <v>311</v>
      </c>
      <c r="C100" s="18" t="s">
        <v>312</v>
      </c>
      <c r="D100" s="16" t="s">
        <v>86</v>
      </c>
      <c r="E100" s="19" t="n">
        <v>12</v>
      </c>
      <c r="F100" s="20" t="n">
        <v>350</v>
      </c>
      <c r="G100" s="21" t="n">
        <f aca="false">E100*F100</f>
        <v>4200</v>
      </c>
      <c r="H100" s="20"/>
      <c r="I100" s="18" t="s">
        <v>313</v>
      </c>
    </row>
    <row r="101" customFormat="false" ht="21.75" hidden="false" customHeight="true" outlineLevel="0" collapsed="false">
      <c r="A101" s="22" t="s">
        <v>314</v>
      </c>
      <c r="B101" s="22"/>
      <c r="C101" s="22"/>
      <c r="D101" s="22"/>
      <c r="E101" s="22"/>
      <c r="F101" s="22"/>
      <c r="G101" s="23" t="n">
        <f aca="false">SUM(G97:G100)</f>
        <v>25320</v>
      </c>
      <c r="H101" s="23" t="n">
        <f aca="false">SUM(H97:H100)</f>
        <v>0</v>
      </c>
      <c r="I101" s="24"/>
    </row>
    <row r="102" customFormat="false" ht="21.75" hidden="false" customHeight="true" outlineLevel="0" collapsed="false">
      <c r="A102" s="15" t="s">
        <v>315</v>
      </c>
      <c r="B102" s="15"/>
      <c r="C102" s="15"/>
      <c r="D102" s="15"/>
      <c r="E102" s="15"/>
      <c r="F102" s="15"/>
      <c r="G102" s="15"/>
      <c r="H102" s="15"/>
      <c r="I102" s="15"/>
    </row>
    <row r="103" customFormat="false" ht="21.75" hidden="false" customHeight="true" outlineLevel="0" collapsed="false">
      <c r="A103" s="16" t="n">
        <v>74</v>
      </c>
      <c r="B103" s="17" t="s">
        <v>316</v>
      </c>
      <c r="C103" s="18" t="s">
        <v>317</v>
      </c>
      <c r="D103" s="16" t="s">
        <v>148</v>
      </c>
      <c r="E103" s="19" t="n">
        <v>1</v>
      </c>
      <c r="F103" s="20" t="n">
        <v>5000</v>
      </c>
      <c r="G103" s="21" t="n">
        <f aca="false">E103*F103</f>
        <v>5000</v>
      </c>
      <c r="H103" s="20"/>
      <c r="I103" s="18" t="s">
        <v>318</v>
      </c>
    </row>
    <row r="104" customFormat="false" ht="21.75" hidden="false" customHeight="true" outlineLevel="0" collapsed="false">
      <c r="A104" s="16" t="n">
        <v>75</v>
      </c>
      <c r="B104" s="17" t="s">
        <v>319</v>
      </c>
      <c r="C104" s="18" t="s">
        <v>320</v>
      </c>
      <c r="D104" s="16" t="s">
        <v>148</v>
      </c>
      <c r="E104" s="19" t="n">
        <v>1</v>
      </c>
      <c r="F104" s="20" t="n">
        <v>3000</v>
      </c>
      <c r="G104" s="21" t="n">
        <f aca="false">E104*F104</f>
        <v>3000</v>
      </c>
      <c r="H104" s="20"/>
      <c r="I104" s="18" t="s">
        <v>321</v>
      </c>
    </row>
    <row r="105" customFormat="false" ht="21.75" hidden="false" customHeight="true" outlineLevel="0" collapsed="false">
      <c r="A105" s="16" t="n">
        <v>76</v>
      </c>
      <c r="B105" s="17" t="s">
        <v>322</v>
      </c>
      <c r="C105" s="18" t="s">
        <v>323</v>
      </c>
      <c r="D105" s="16" t="s">
        <v>148</v>
      </c>
      <c r="E105" s="19" t="n">
        <v>1</v>
      </c>
      <c r="F105" s="20" t="n">
        <v>10000</v>
      </c>
      <c r="G105" s="21" t="n">
        <f aca="false">E105*F105</f>
        <v>10000</v>
      </c>
      <c r="H105" s="20"/>
      <c r="I105" s="18" t="s">
        <v>324</v>
      </c>
    </row>
    <row r="106" customFormat="false" ht="21.75" hidden="false" customHeight="true" outlineLevel="0" collapsed="false">
      <c r="A106" s="16" t="n">
        <v>77</v>
      </c>
      <c r="B106" s="17" t="s">
        <v>325</v>
      </c>
      <c r="C106" s="18" t="s">
        <v>326</v>
      </c>
      <c r="D106" s="16" t="s">
        <v>148</v>
      </c>
      <c r="E106" s="19" t="n">
        <v>1</v>
      </c>
      <c r="F106" s="25" t="n">
        <f aca="false">ROUND(0.05*(G18+G31+G38+G45+G57+G66+G75+G85+G94+G101),-2)</f>
        <v>287300</v>
      </c>
      <c r="G106" s="21" t="n">
        <f aca="false">E106*F106</f>
        <v>287300</v>
      </c>
      <c r="H106" s="20"/>
      <c r="I106" s="18" t="s">
        <v>327</v>
      </c>
    </row>
    <row r="107" customFormat="false" ht="21.75" hidden="false" customHeight="true" outlineLevel="0" collapsed="false">
      <c r="A107" s="22" t="s">
        <v>328</v>
      </c>
      <c r="B107" s="22"/>
      <c r="C107" s="22"/>
      <c r="D107" s="22"/>
      <c r="E107" s="22"/>
      <c r="F107" s="22"/>
      <c r="G107" s="23" t="n">
        <f aca="false">SUM(G104:G106)</f>
        <v>300300</v>
      </c>
      <c r="H107" s="23" t="n">
        <f aca="false">SUM(H104:H106)</f>
        <v>0</v>
      </c>
      <c r="I107" s="24"/>
    </row>
    <row r="109" customFormat="false" ht="27.75" hidden="false" customHeight="true" outlineLevel="0" collapsed="false">
      <c r="A109" s="26" t="s">
        <v>329</v>
      </c>
      <c r="B109" s="26"/>
      <c r="C109" s="26"/>
      <c r="D109" s="26"/>
      <c r="E109" s="26"/>
      <c r="F109" s="26"/>
      <c r="G109" s="27" t="n">
        <f aca="false">G18+G31+G38+G45+G57+G66+G75+G85+G94+G101+G107</f>
        <v>6046350</v>
      </c>
      <c r="H109" s="27" t="n">
        <f aca="false">H18+H31+H38+H45+H57+H66+H75+H85+H94+H101+H107</f>
        <v>0</v>
      </c>
      <c r="I109" s="28"/>
    </row>
    <row r="111" customFormat="false" ht="15" hidden="false" customHeight="true" outlineLevel="0" collapsed="false">
      <c r="A111" s="29" t="s">
        <v>330</v>
      </c>
      <c r="B111" s="29"/>
      <c r="C111" s="29"/>
      <c r="D111" s="29"/>
      <c r="E111" s="29"/>
      <c r="F111" s="29"/>
      <c r="G111" s="30" t="n">
        <f aca="false">G109-H109</f>
        <v>6046350</v>
      </c>
      <c r="H111" s="31" t="n">
        <f aca="false">IF(H109&gt;0,(G109-H109)/H109,0)</f>
        <v>0</v>
      </c>
      <c r="I111" s="32" t="s">
        <v>331</v>
      </c>
    </row>
    <row r="112" customFormat="false" ht="15" hidden="false" customHeight="true" outlineLevel="0" collapsed="false">
      <c r="A112" s="29" t="s">
        <v>332</v>
      </c>
      <c r="B112" s="29"/>
      <c r="C112" s="29"/>
      <c r="D112" s="29"/>
      <c r="E112" s="29"/>
      <c r="F112" s="29"/>
      <c r="G112" s="30" t="n">
        <f aca="false">G109/2</f>
        <v>3023175</v>
      </c>
      <c r="H112" s="33"/>
      <c r="I112" s="33"/>
    </row>
    <row r="113" customFormat="false" ht="15" hidden="false" customHeight="true" outlineLevel="0" collapsed="false">
      <c r="A113" s="29" t="s">
        <v>333</v>
      </c>
      <c r="B113" s="29"/>
      <c r="C113" s="29"/>
      <c r="D113" s="29"/>
      <c r="E113" s="29"/>
      <c r="F113" s="29"/>
      <c r="G113" s="30" t="n">
        <f aca="false">G109/12</f>
        <v>503862.5</v>
      </c>
      <c r="H113" s="33"/>
      <c r="I113" s="33"/>
    </row>
    <row r="115" customFormat="false" ht="15" hidden="false" customHeight="true" outlineLevel="0" collapsed="false">
      <c r="A115" s="34" t="s">
        <v>334</v>
      </c>
      <c r="B115" s="34"/>
      <c r="C115" s="34"/>
      <c r="D115" s="34"/>
      <c r="E115" s="34"/>
      <c r="F115" s="34"/>
      <c r="G115" s="34"/>
      <c r="H115" s="34"/>
      <c r="I115" s="34"/>
    </row>
    <row r="116" customFormat="false" ht="15" hidden="false" customHeight="true" outlineLevel="0" collapsed="false">
      <c r="A116" s="35" t="s">
        <v>335</v>
      </c>
      <c r="B116" s="35"/>
      <c r="C116" s="35"/>
      <c r="D116" s="35"/>
      <c r="E116" s="35"/>
      <c r="F116" s="35"/>
      <c r="G116" s="35"/>
      <c r="H116" s="35"/>
      <c r="I116" s="35"/>
    </row>
    <row r="117" customFormat="false" ht="15" hidden="false" customHeight="true" outlineLevel="0" collapsed="false">
      <c r="A117" s="35" t="s">
        <v>336</v>
      </c>
      <c r="B117" s="35"/>
      <c r="C117" s="35"/>
      <c r="D117" s="35"/>
      <c r="E117" s="35"/>
      <c r="F117" s="35"/>
      <c r="G117" s="35"/>
      <c r="H117" s="35"/>
      <c r="I117" s="35"/>
    </row>
    <row r="118" customFormat="false" ht="15" hidden="false" customHeight="true" outlineLevel="0" collapsed="false">
      <c r="A118" s="35" t="s">
        <v>337</v>
      </c>
      <c r="B118" s="35"/>
      <c r="C118" s="35"/>
      <c r="D118" s="35"/>
      <c r="E118" s="35"/>
      <c r="F118" s="35"/>
      <c r="G118" s="35"/>
      <c r="H118" s="35"/>
      <c r="I118" s="35"/>
    </row>
    <row r="119" customFormat="false" ht="15" hidden="false" customHeight="true" outlineLevel="0" collapsed="false">
      <c r="A119" s="35" t="s">
        <v>338</v>
      </c>
      <c r="B119" s="35"/>
      <c r="C119" s="35"/>
      <c r="D119" s="35"/>
      <c r="E119" s="35"/>
      <c r="F119" s="35"/>
      <c r="G119" s="35"/>
      <c r="H119" s="35"/>
      <c r="I119" s="35"/>
    </row>
    <row r="120" customFormat="false" ht="15" hidden="false" customHeight="true" outlineLevel="0" collapsed="false">
      <c r="A120" s="35" t="s">
        <v>339</v>
      </c>
      <c r="B120" s="35"/>
      <c r="C120" s="35"/>
      <c r="D120" s="35"/>
      <c r="E120" s="35"/>
      <c r="F120" s="35"/>
      <c r="G120" s="35"/>
      <c r="H120" s="35"/>
      <c r="I120" s="35"/>
    </row>
    <row r="121" customFormat="false" ht="15" hidden="false" customHeight="true" outlineLevel="0" collapsed="false">
      <c r="A121" s="35" t="s">
        <v>340</v>
      </c>
      <c r="B121" s="35"/>
      <c r="C121" s="35"/>
      <c r="D121" s="35"/>
      <c r="E121" s="35"/>
      <c r="F121" s="35"/>
      <c r="G121" s="35"/>
      <c r="H121" s="35"/>
      <c r="I121" s="35"/>
    </row>
    <row r="122" customFormat="false" ht="15" hidden="false" customHeight="true" outlineLevel="0" collapsed="false">
      <c r="A122" s="35" t="s">
        <v>341</v>
      </c>
      <c r="B122" s="35"/>
      <c r="C122" s="35"/>
      <c r="D122" s="35"/>
      <c r="E122" s="35"/>
      <c r="F122" s="35"/>
      <c r="G122" s="35"/>
      <c r="H122" s="35"/>
      <c r="I122" s="35"/>
    </row>
    <row r="123" customFormat="false" ht="15" hidden="false" customHeight="true" outlineLevel="0" collapsed="false">
      <c r="A123" s="35" t="s">
        <v>342</v>
      </c>
      <c r="B123" s="35"/>
      <c r="C123" s="35"/>
      <c r="D123" s="35"/>
      <c r="E123" s="35"/>
      <c r="F123" s="35"/>
      <c r="G123" s="35"/>
      <c r="H123" s="35"/>
      <c r="I123" s="35"/>
    </row>
    <row r="124" customFormat="false" ht="15" hidden="false" customHeight="true" outlineLevel="0" collapsed="false">
      <c r="A124" s="35" t="s">
        <v>343</v>
      </c>
      <c r="B124" s="35"/>
      <c r="C124" s="35"/>
      <c r="D124" s="35"/>
      <c r="E124" s="35"/>
      <c r="F124" s="35"/>
      <c r="G124" s="35"/>
      <c r="H124" s="35"/>
      <c r="I124" s="35"/>
    </row>
    <row r="125" customFormat="false" ht="15" hidden="false" customHeight="true" outlineLevel="0" collapsed="false">
      <c r="A125" s="35" t="s">
        <v>344</v>
      </c>
      <c r="B125" s="35"/>
      <c r="C125" s="35"/>
      <c r="D125" s="35"/>
      <c r="E125" s="35"/>
      <c r="F125" s="35"/>
      <c r="G125" s="35"/>
      <c r="H125" s="35"/>
      <c r="I125" s="35"/>
    </row>
    <row r="127" customFormat="false" ht="15" hidden="false" customHeight="true" outlineLevel="0" collapsed="false">
      <c r="A127" s="36" t="s">
        <v>345</v>
      </c>
      <c r="B127" s="36"/>
      <c r="C127" s="36"/>
      <c r="D127" s="36"/>
      <c r="E127" s="36"/>
      <c r="F127" s="36"/>
      <c r="G127" s="36"/>
      <c r="H127" s="36"/>
      <c r="I127" s="36"/>
    </row>
    <row r="129" customFormat="false" ht="3.75" hidden="false" customHeight="true" outlineLevel="0" collapsed="false">
      <c r="A129" s="3"/>
      <c r="B129" s="3"/>
      <c r="C129" s="3"/>
      <c r="D129" s="3"/>
      <c r="E129" s="3"/>
      <c r="F129" s="3"/>
      <c r="G129" s="3"/>
      <c r="H129" s="3"/>
      <c r="I129" s="3"/>
    </row>
    <row r="130" customFormat="false" ht="21.75" hidden="false" customHeight="true" outlineLevel="0" collapsed="false">
      <c r="A130" s="9" t="s">
        <v>50</v>
      </c>
      <c r="B130" s="9"/>
      <c r="C130" s="9"/>
      <c r="D130" s="9"/>
      <c r="E130" s="9"/>
      <c r="F130" s="9"/>
      <c r="G130" s="9"/>
      <c r="H130" s="9"/>
      <c r="I130" s="9"/>
    </row>
  </sheetData>
  <mergeCells count="42">
    <mergeCell ref="B1:I1"/>
    <mergeCell ref="A3:I3"/>
    <mergeCell ref="A4:I4"/>
    <mergeCell ref="A9:I9"/>
    <mergeCell ref="A18:F18"/>
    <mergeCell ref="A19:I19"/>
    <mergeCell ref="A31:F31"/>
    <mergeCell ref="A32:I32"/>
    <mergeCell ref="A38:F38"/>
    <mergeCell ref="A39:I39"/>
    <mergeCell ref="A45:F45"/>
    <mergeCell ref="A46:I46"/>
    <mergeCell ref="A57:F57"/>
    <mergeCell ref="A58:I58"/>
    <mergeCell ref="A66:F66"/>
    <mergeCell ref="A67:I67"/>
    <mergeCell ref="A75:F75"/>
    <mergeCell ref="A76:I76"/>
    <mergeCell ref="A85:F85"/>
    <mergeCell ref="A86:I86"/>
    <mergeCell ref="A94:F94"/>
    <mergeCell ref="A95:I95"/>
    <mergeCell ref="A101:F101"/>
    <mergeCell ref="A102:I102"/>
    <mergeCell ref="A107:F107"/>
    <mergeCell ref="A109:F109"/>
    <mergeCell ref="A111:F111"/>
    <mergeCell ref="A112:F112"/>
    <mergeCell ref="A113:F113"/>
    <mergeCell ref="A115:I115"/>
    <mergeCell ref="A116:I116"/>
    <mergeCell ref="A117:I117"/>
    <mergeCell ref="A118:I118"/>
    <mergeCell ref="A119:I119"/>
    <mergeCell ref="A120:I120"/>
    <mergeCell ref="A121:I121"/>
    <mergeCell ref="A122:I122"/>
    <mergeCell ref="A123:I123"/>
    <mergeCell ref="A124:I124"/>
    <mergeCell ref="A125:I125"/>
    <mergeCell ref="A127:I127"/>
    <mergeCell ref="A130:I130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E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6" topLeftCell="A7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45"/>
    <col collapsed="false" customWidth="true" hidden="false" outlineLevel="0" max="3" min="3" style="0" width="18"/>
    <col collapsed="false" customWidth="true" hidden="false" outlineLevel="0" max="4" min="4" style="0" width="20"/>
    <col collapsed="false" customWidth="true" hidden="false" outlineLevel="0" max="5" min="5" style="0" width="14"/>
  </cols>
  <sheetData>
    <row r="1" customFormat="false" ht="69.75" hidden="false" customHeight="true" outlineLevel="0" collapsed="false">
      <c r="A1" s="1"/>
      <c r="B1" s="10" t="s">
        <v>0</v>
      </c>
      <c r="C1" s="10"/>
      <c r="D1" s="10"/>
      <c r="E1" s="10"/>
    </row>
    <row r="2" customFormat="false" ht="3.75" hidden="false" customHeight="true" outlineLevel="0" collapsed="false">
      <c r="A2" s="3"/>
      <c r="B2" s="3"/>
      <c r="C2" s="3"/>
      <c r="D2" s="3"/>
      <c r="E2" s="3"/>
    </row>
    <row r="3" customFormat="false" ht="30" hidden="false" customHeight="true" outlineLevel="0" collapsed="false">
      <c r="A3" s="4" t="s">
        <v>346</v>
      </c>
      <c r="B3" s="4"/>
      <c r="C3" s="4"/>
      <c r="D3" s="4"/>
      <c r="E3" s="4"/>
    </row>
    <row r="4" customFormat="false" ht="21.75" hidden="false" customHeight="true" outlineLevel="0" collapsed="false">
      <c r="A4" s="5" t="s">
        <v>347</v>
      </c>
      <c r="B4" s="5"/>
      <c r="C4" s="5"/>
      <c r="D4" s="5"/>
      <c r="E4" s="5"/>
    </row>
    <row r="5" customFormat="false" ht="7.5" hidden="false" customHeight="true" outlineLevel="0" collapsed="false"/>
    <row r="6" customFormat="false" ht="27.75" hidden="false" customHeight="true" outlineLevel="0" collapsed="false">
      <c r="A6" s="14" t="s">
        <v>59</v>
      </c>
      <c r="B6" s="14" t="s">
        <v>348</v>
      </c>
      <c r="C6" s="14" t="s">
        <v>349</v>
      </c>
      <c r="D6" s="14" t="s">
        <v>66</v>
      </c>
      <c r="E6" s="14" t="s">
        <v>350</v>
      </c>
    </row>
    <row r="7" customFormat="false" ht="15" hidden="false" customHeight="false" outlineLevel="0" collapsed="false">
      <c r="A7" s="16" t="n">
        <v>1</v>
      </c>
      <c r="B7" s="17" t="s">
        <v>351</v>
      </c>
      <c r="C7" s="21" t="n">
        <f aca="false">'Annual Budget'!G18</f>
        <v>4320240</v>
      </c>
      <c r="D7" s="21" t="n">
        <f aca="false">'Annual Budget'!H18</f>
        <v>0</v>
      </c>
      <c r="E7" s="37" t="n">
        <f aca="false">IF(C18&gt;0,C7/C18,0)</f>
        <v>0.714520330447295</v>
      </c>
    </row>
    <row r="8" customFormat="false" ht="15" hidden="false" customHeight="false" outlineLevel="0" collapsed="false">
      <c r="A8" s="38" t="n">
        <v>2</v>
      </c>
      <c r="B8" s="39" t="s">
        <v>352</v>
      </c>
      <c r="C8" s="40" t="n">
        <f aca="false">'Annual Budget'!G31</f>
        <v>224800</v>
      </c>
      <c r="D8" s="40" t="n">
        <f aca="false">'Annual Budget'!H31</f>
        <v>0</v>
      </c>
      <c r="E8" s="41" t="n">
        <f aca="false">IF(C18&gt;0,C8/C18,0)</f>
        <v>0.0371794553739033</v>
      </c>
    </row>
    <row r="9" customFormat="false" ht="15" hidden="false" customHeight="false" outlineLevel="0" collapsed="false">
      <c r="A9" s="16" t="n">
        <v>3</v>
      </c>
      <c r="B9" s="17" t="s">
        <v>353</v>
      </c>
      <c r="C9" s="21" t="n">
        <f aca="false">'Annual Budget'!G38</f>
        <v>77600</v>
      </c>
      <c r="D9" s="21" t="n">
        <f aca="false">'Annual Budget'!H38</f>
        <v>0</v>
      </c>
      <c r="E9" s="37" t="n">
        <f aca="false">IF(C18&gt;0,C9/C18,0)</f>
        <v>0.0128341892215965</v>
      </c>
    </row>
    <row r="10" customFormat="false" ht="15" hidden="false" customHeight="false" outlineLevel="0" collapsed="false">
      <c r="A10" s="38" t="n">
        <v>4</v>
      </c>
      <c r="B10" s="39" t="s">
        <v>354</v>
      </c>
      <c r="C10" s="40" t="n">
        <f aca="false">'Annual Budget'!G45</f>
        <v>72200</v>
      </c>
      <c r="D10" s="40" t="n">
        <f aca="false">'Annual Budget'!H45</f>
        <v>0</v>
      </c>
      <c r="E10" s="41" t="n">
        <f aca="false">IF(C18&gt;0,C10/C18,0)</f>
        <v>0.0119410884252483</v>
      </c>
    </row>
    <row r="11" customFormat="false" ht="15" hidden="false" customHeight="false" outlineLevel="0" collapsed="false">
      <c r="A11" s="16" t="n">
        <v>5</v>
      </c>
      <c r="B11" s="17" t="s">
        <v>355</v>
      </c>
      <c r="C11" s="21" t="n">
        <f aca="false">'Annual Budget'!G57</f>
        <v>159800</v>
      </c>
      <c r="D11" s="21" t="n">
        <f aca="false">'Annual Budget'!H57</f>
        <v>0</v>
      </c>
      <c r="E11" s="37" t="n">
        <f aca="false">IF(C18&gt;0,C11/C18,0)</f>
        <v>0.0264291680104526</v>
      </c>
    </row>
    <row r="12" customFormat="false" ht="15" hidden="false" customHeight="false" outlineLevel="0" collapsed="false">
      <c r="A12" s="38" t="n">
        <v>6</v>
      </c>
      <c r="B12" s="39" t="s">
        <v>356</v>
      </c>
      <c r="C12" s="40" t="n">
        <f aca="false">'Annual Budget'!G66</f>
        <v>86450</v>
      </c>
      <c r="D12" s="40" t="n">
        <f aca="false">'Annual Budget'!H66</f>
        <v>0</v>
      </c>
      <c r="E12" s="41" t="n">
        <f aca="false">IF(C18&gt;0,C12/C18,0)</f>
        <v>0.0142978821933894</v>
      </c>
    </row>
    <row r="13" customFormat="false" ht="15" hidden="false" customHeight="false" outlineLevel="0" collapsed="false">
      <c r="A13" s="16" t="n">
        <v>7</v>
      </c>
      <c r="B13" s="17" t="s">
        <v>357</v>
      </c>
      <c r="C13" s="21" t="n">
        <f aca="false">'Annual Budget'!G75</f>
        <v>595000</v>
      </c>
      <c r="D13" s="21" t="n">
        <f aca="false">'Annual Budget'!H75</f>
        <v>0</v>
      </c>
      <c r="E13" s="37" t="n">
        <f aca="false">IF(C18&gt;0,C13/C18,0)</f>
        <v>0.0984064766346639</v>
      </c>
    </row>
    <row r="14" customFormat="false" ht="15" hidden="false" customHeight="false" outlineLevel="0" collapsed="false">
      <c r="A14" s="38" t="n">
        <v>8</v>
      </c>
      <c r="B14" s="39" t="s">
        <v>358</v>
      </c>
      <c r="C14" s="40" t="n">
        <f aca="false">'Annual Budget'!G85</f>
        <v>121440</v>
      </c>
      <c r="D14" s="40" t="n">
        <f aca="false">'Annual Budget'!H85</f>
        <v>0</v>
      </c>
      <c r="E14" s="41" t="n">
        <f aca="false">IF(C18&gt;0,C14/C18,0)</f>
        <v>0.0200848445756531</v>
      </c>
    </row>
    <row r="15" customFormat="false" ht="15" hidden="false" customHeight="false" outlineLevel="0" collapsed="false">
      <c r="A15" s="16" t="n">
        <v>9</v>
      </c>
      <c r="B15" s="17" t="s">
        <v>359</v>
      </c>
      <c r="C15" s="21" t="n">
        <f aca="false">'Annual Budget'!G94</f>
        <v>63200</v>
      </c>
      <c r="D15" s="21" t="n">
        <f aca="false">'Annual Budget'!H94</f>
        <v>0</v>
      </c>
      <c r="E15" s="37" t="n">
        <f aca="false">IF(C18&gt;0,C15/C18,0)</f>
        <v>0.0104525870980013</v>
      </c>
    </row>
    <row r="16" customFormat="false" ht="15" hidden="false" customHeight="false" outlineLevel="0" collapsed="false">
      <c r="A16" s="38" t="n">
        <v>10</v>
      </c>
      <c r="B16" s="39" t="s">
        <v>360</v>
      </c>
      <c r="C16" s="40" t="n">
        <f aca="false">'Annual Budget'!G101</f>
        <v>25320</v>
      </c>
      <c r="D16" s="40" t="n">
        <f aca="false">'Annual Budget'!H101</f>
        <v>0</v>
      </c>
      <c r="E16" s="41" t="n">
        <f aca="false">IF(C18&gt;0,C16/C18,0)</f>
        <v>0.00418765040065494</v>
      </c>
    </row>
    <row r="17" customFormat="false" ht="15" hidden="false" customHeight="false" outlineLevel="0" collapsed="false">
      <c r="A17" s="16" t="n">
        <v>11</v>
      </c>
      <c r="B17" s="17" t="s">
        <v>361</v>
      </c>
      <c r="C17" s="21" t="n">
        <f aca="false">'Annual Budget'!G107</f>
        <v>300300</v>
      </c>
      <c r="D17" s="21" t="n">
        <f aca="false">'Annual Budget'!H107</f>
        <v>0</v>
      </c>
      <c r="E17" s="37" t="n">
        <f aca="false">IF(C18&gt;0,C17/C18,0)</f>
        <v>0.0496663276191421</v>
      </c>
    </row>
    <row r="18" customFormat="false" ht="15" hidden="false" customHeight="false" outlineLevel="0" collapsed="false">
      <c r="A18" s="42" t="s">
        <v>362</v>
      </c>
      <c r="B18" s="26" t="s">
        <v>363</v>
      </c>
      <c r="C18" s="27" t="n">
        <f aca="false">SUM(C7:C17)</f>
        <v>6046350</v>
      </c>
      <c r="D18" s="27" t="n">
        <f aca="false">SUM(D7:D17)</f>
        <v>0</v>
      </c>
      <c r="E18" s="43" t="n">
        <f aca="false">IF(C18&gt;0,SUM(E7:E17),0)</f>
        <v>1</v>
      </c>
    </row>
    <row r="20" customFormat="false" ht="3.75" hidden="false" customHeight="true" outlineLevel="0" collapsed="false">
      <c r="A20" s="3"/>
      <c r="B20" s="3"/>
      <c r="C20" s="3"/>
      <c r="D20" s="3"/>
      <c r="E20" s="3"/>
    </row>
    <row r="21" customFormat="false" ht="21.75" hidden="false" customHeight="true" outlineLevel="0" collapsed="false">
      <c r="A21" s="9" t="s">
        <v>50</v>
      </c>
      <c r="B21" s="9"/>
      <c r="C21" s="9"/>
      <c r="D21" s="9"/>
      <c r="E21" s="9"/>
    </row>
  </sheetData>
  <mergeCells count="4">
    <mergeCell ref="B1:E1"/>
    <mergeCell ref="A3:E3"/>
    <mergeCell ref="A4:E4"/>
    <mergeCell ref="A21:E21"/>
  </mergeCells>
  <printOptions headings="false" gridLines="false" gridLinesSet="true" horizontalCentered="true" verticalCentered="false"/>
  <pageMargins left="0.4" right="0.4" top="0.4" bottom="0.4" header="0.511811023622047" footer="0.511811023622047"/>
  <pageSetup paperSize="1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2026-04-17T16:52:02Z</dcterms:created>
  <dc:creator>openpyxl</dc:creator>
  <dc:description/>
  <dc:language>en-US</dc:language>
  <cp:lastModifiedBy/>
  <dcterms:modified xsi:type="dcterms:W3CDTF">2026-04-17T16:52:02Z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