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1. SKU Classifier" sheetId="2" state="visible" r:id="rId4"/>
    <sheet name="2. Monthly Tonnage" sheetId="3" state="visible" r:id="rId5"/>
    <sheet name="3. Credit Log" sheetId="4" state="visible" r:id="rId6"/>
    <sheet name="4. Filing Checklist" sheetId="5" state="visible" r:id="rId7"/>
    <sheet name="5. Dashboard" sheetId="6" state="visible" r:id="rId8"/>
  </sheets>
  <definedNames>
    <definedName function="false" hidden="false" localSheetId="1" name="_xlnm.Print_Titles" vbProcedure="false">'1. SKU Classifier'!$1:$4</definedName>
    <definedName function="false" hidden="false" localSheetId="2" name="_xlnm.Print_Titles" vbProcedure="false">'2. Monthly Tonnage'!$1:$4</definedName>
    <definedName function="false" hidden="false" localSheetId="3" name="_xlnm.Print_Titles" vbProcedure="false">'3. Credit Log'!$1:$4</definedName>
    <definedName function="false" hidden="false" localSheetId="4" name="_xlnm.Print_Titles" vbProcedure="false">'4. Filing Checklist'!$1:$4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<sst xmlns="http://schemas.openxmlformats.org/spreadsheetml/2006/main" count="254" uniqueCount="205">
  <si>
    <t xml:space="preserve">⚙ FREE INDUSTRIAL TOOLKIT — EPR COMPLIANCE TOOLS</t>
  </si>
  <si>
    <t xml:space="preserve">VKS TECH</t>
  </si>
  <si>
    <t xml:space="preserve">🌐 https://vksTech.com</t>
  </si>
  <si>
    <t xml:space="preserve">Vivek Kumar (Privacy Papa) · M.Tech NIT Uttarakhand · 9+ Yrs Flexible Packaging  |  Doc Ref: VKS/EPR/MST/01</t>
  </si>
  <si>
    <t xml:space="preserve">📖 EPR COMPLIANCE MASTER TRACKER — HOW TO USE</t>
  </si>
  <si>
    <t xml:space="preserve">EPR अनुपालन मास्टर ट्रैकर — इस्तेमाल कैसे करें</t>
  </si>
  <si>
    <t xml:space="preserve">What this is / यह क्या है</t>
  </si>
  <si>
    <t xml:space="preserve">A 5-tab compliance workbook for the Plastic Waste Management (Amendment) Rules, 2026 — notified 31 March 2026 (G.S.R. 237(E)). Built for FP plants and brand owners covered under EPR. / यह 5-tab compliance workbook Plastic Waste Management (Amendment) Rules 2026 के लिए है — 31 मार्च 2026 को notified।</t>
  </si>
  <si>
    <t xml:space="preserve">Tab 1 — SKU Classifier / SKU वर्गीकरण</t>
  </si>
  <si>
    <t xml:space="preserve">List every SKU you produce. Pick the plastic Category (I rigid / II flexible / III multi-layered / IV compostable) from the dropdown. The recycled content target auto-fills based on FY 2025-26 numbers. Update yearly. / हर SKU list करें। Category dropdown से चुनें। Recycled content target अपने आप fill होगा।</t>
  </si>
  <si>
    <t xml:space="preserve">Tab 2 — Monthly Tonnage Tracker / मासिक टनेज ट्रैकर</t>
  </si>
  <si>
    <t xml:space="preserve">Enter monthly production tonnage by category. The sheet auto-calculates your EPR obligation in tonnes and the gap if your actual recycled content falls short. / हर महीने category-wise production डालें। EPR obligation और gap auto-calculate होगा।</t>
  </si>
  <si>
    <t xml:space="preserve">Tab 3 — Recycling Credit Log / रीसाइक्लिंग क्रेडिट लॉग</t>
  </si>
  <si>
    <t xml:space="preserve">Track every EPR certificate purchased from CPCB-approved recyclers — vendor, certificate number, tonnage covered, cost. This is your audit trail. / हर EPR certificate track करें — vendor, certificate number, tonnage, cost।</t>
  </si>
  <si>
    <t xml:space="preserve">Tab 4 — Filing Checklist / फाइलिंग चेकलिस्ट</t>
  </si>
  <si>
    <t xml:space="preserve">Pre-built checklist of CPCB filing requirements: registration, half-yearly return (October 31), annual return (June 30), barcode/QR labelling, recycled content declaration. / CPCB filing checklist — registration, returns, QR labelling, recycled content।</t>
  </si>
  <si>
    <t xml:space="preserve">Tab 5 — Summary Dashboard / सारांश डैशबोर्ड</t>
  </si>
  <si>
    <t xml:space="preserve">Auto-rolled-up view: total obligation, total credits, gap, ₹ exposure, compliance status. Use this for monthly management review. / Auto roll-up — obligation, credits, gap, ₹ exposure, status।</t>
  </si>
  <si>
    <t xml:space="preserve">⚠ Important disclaimer / महत्वपूर्ण अस्वीकरण</t>
  </si>
  <si>
    <t xml:space="preserve">EPR rules change frequently. Always verify the latest version on the CPCB portal (cpcb.nic.in) before final filing. This template is a working tool, not legal advice. / EPR rules बदलते रहते हैं। Final filing से पहले CPCB portal पर latest verify करें।</t>
  </si>
  <si>
    <t xml:space="preserve">Want more free formats? / और free formats?</t>
  </si>
  <si>
    <t xml:space="preserve">Visit https://vksTech.com for the full library of operational documents, calculators, and training tools. / पूरी library के लिए https://vksTech.com।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</si>
  <si>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</si>
  <si>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</si>
  <si>
    <t xml:space="preserve">⚙ FREE INDUSTRIAL TOOLKIT — EPR COMPLIANCE TOOLS FROM THE PLANT FLOOR</t>
  </si>
  <si>
    <t xml:space="preserve">VKS TECH  |  https://vksTech.com  |  Vivek Kumar (Privacy Papa) — M.Tech NIT Uttarakhand  |  9+ Years Flexible Packaging</t>
  </si>
  <si>
    <t xml:space="preserve">📚 EPR Compliance · Plastic Waste Management · CPCB Filing Tools       |       Doc Ref: VKS/EPR/MST/01-T1</t>
  </si>
  <si>
    <t xml:space="preserve">🏷️ TAB 1 — SKU CLASSIFIER (Map every product to its EPR Category)</t>
  </si>
  <si>
    <t xml:space="preserve">टैब 1 — SKU वर्गीकरण  |  हर product को EPR Category से map करें</t>
  </si>
  <si>
    <t xml:space="preserve">SKU Code
SKU कोड</t>
  </si>
  <si>
    <t xml:space="preserve">Product Name
प्रोडक्ट नाम</t>
  </si>
  <si>
    <t xml:space="preserve">Substrate
सब्सट्रेट</t>
  </si>
  <si>
    <t xml:space="preserve">Thickness
(µ)</t>
  </si>
  <si>
    <t xml:space="preserve">Resin Code
रेज़िन कोड</t>
  </si>
  <si>
    <t xml:space="preserve">EPR Category
EPR श्रेणी</t>
  </si>
  <si>
    <t xml:space="preserve">PCR Target
2025-26 (%)</t>
  </si>
  <si>
    <t xml:space="preserve">PCR Target
2026-27 (%)</t>
  </si>
  <si>
    <t xml:space="preserve">PCR Target
2027-28 (%)</t>
  </si>
  <si>
    <t xml:space="preserve">Notes
टिप्पणी</t>
  </si>
  <si>
    <t xml:space="preserve">[SKU-001]</t>
  </si>
  <si>
    <t xml:space="preserve">[e.g. PET 12µ Metallised Roll]</t>
  </si>
  <si>
    <t xml:space="preserve">PET (metallised)</t>
  </si>
  <si>
    <t xml:space="preserve">OTHER</t>
  </si>
  <si>
    <t xml:space="preserve">Cat II — Flexible</t>
  </si>
  <si>
    <t xml:space="preserve">[fill in]</t>
  </si>
  <si>
    <t xml:space="preserve">[SKU-002]</t>
  </si>
  <si>
    <t xml:space="preserve">[e.g. BOPP 18µ Plain]</t>
  </si>
  <si>
    <t xml:space="preserve">BOPP</t>
  </si>
  <si>
    <t xml:space="preserve">PP</t>
  </si>
  <si>
    <t xml:space="preserve">[SKU-003]</t>
  </si>
  <si>
    <t xml:space="preserve">[e.g. CPP 22µ for lamination]</t>
  </si>
  <si>
    <t xml:space="preserve">CPP</t>
  </si>
  <si>
    <t xml:space="preserve">[SKU-004]</t>
  </si>
  <si>
    <t xml:space="preserve">[e.g. PET-Met-PE laminate pouch]</t>
  </si>
  <si>
    <t xml:space="preserve">PET/PE Multi-layer</t>
  </si>
  <si>
    <t xml:space="preserve">Cat III — Multi-layered</t>
  </si>
  <si>
    <t xml:space="preserve">[3-layer laminate]</t>
  </si>
  <si>
    <t xml:space="preserve">[SKU-005]</t>
  </si>
  <si>
    <t xml:space="preserve">[e.g. PET 250mL bottle]</t>
  </si>
  <si>
    <t xml:space="preserve">PET (rigid)</t>
  </si>
  <si>
    <t xml:space="preserve">PET</t>
  </si>
  <si>
    <t xml:space="preserve">Cat I — Rigid</t>
  </si>
  <si>
    <t xml:space="preserve">[bottle]</t>
  </si>
  <si>
    <t xml:space="preserve">📋 EPR CATEGORY QUICK REFERENCE — Plastic Waste Management (Amendment) Rules, 2026</t>
  </si>
  <si>
    <t xml:space="preserve">Category / श्रेणी</t>
  </si>
  <si>
    <t xml:space="preserve">Examples / उदाहरण</t>
  </si>
  <si>
    <t xml:space="preserve">2025-26</t>
  </si>
  <si>
    <t xml:space="preserve">2026-27</t>
  </si>
  <si>
    <t xml:space="preserve">2027-28</t>
  </si>
  <si>
    <t xml:space="preserve">Steady-state target</t>
  </si>
  <si>
    <t xml:space="preserve">Cat I — Rigid plastic packaging</t>
  </si>
  <si>
    <t xml:space="preserve">Bottles, jars, rigid containers (PET, HDPE, PP, PVC)</t>
  </si>
  <si>
    <t xml:space="preserve">30%</t>
  </si>
  <si>
    <t xml:space="preserve">40%</t>
  </si>
  <si>
    <t xml:space="preserve">50%</t>
  </si>
  <si>
    <t xml:space="preserve">60% by 2028-29</t>
  </si>
  <si>
    <t xml:space="preserve">Cat II — Flexible plastic packaging</t>
  </si>
  <si>
    <t xml:space="preserve">Films, pouches, sachets, carry bags (PET-met, BOPP, CPP, LDPE, etc.)</t>
  </si>
  <si>
    <t xml:space="preserve">10%</t>
  </si>
  <si>
    <t xml:space="preserve">20%</t>
  </si>
  <si>
    <t xml:space="preserve">20% from 2027-28</t>
  </si>
  <si>
    <t xml:space="preserve">Cat III — Multi-layered plastic</t>
  </si>
  <si>
    <t xml:space="preserve">Laminates with non-plastic layers (foil, paper)</t>
  </si>
  <si>
    <t xml:space="preserve">5%</t>
  </si>
  <si>
    <t xml:space="preserve">10% from 2027-28</t>
  </si>
  <si>
    <t xml:space="preserve">Cat IV — Compostable plastic</t>
  </si>
  <si>
    <t xml:space="preserve">Certified compostable (IS 17088)</t>
  </si>
  <si>
    <t xml:space="preserve">100%</t>
  </si>
  <si>
    <t xml:space="preserve">100% since 2023-24</t>
  </si>
  <si>
    <t xml:space="preserve">📚 EPR Compliance · Plastic Waste Management · CPCB Filing Tools       |       Doc Ref: VKS/EPR/MST/01-T2</t>
  </si>
  <si>
    <t xml:space="preserve">⚖ TAB 2 — MONTHLY TONNAGE TRACKER (FY 2025-26 onwards)</t>
  </si>
  <si>
    <t xml:space="preserve">टैब 2 — मासिक टनेज ट्रैकर  |  category-wise production वज़न और EPR obligation</t>
  </si>
  <si>
    <t xml:space="preserve">PIBO Name:</t>
  </si>
  <si>
    <t xml:space="preserve">[Fill in]</t>
  </si>
  <si>
    <t xml:space="preserve">CPCB Reg ID:</t>
  </si>
  <si>
    <t xml:space="preserve">FY:</t>
  </si>
  <si>
    <t xml:space="preserve">Month
महीना</t>
  </si>
  <si>
    <t xml:space="preserve">Cat I Rigid
(tonnes)</t>
  </si>
  <si>
    <t xml:space="preserve">Cat II Flexible
(tonnes)</t>
  </si>
  <si>
    <t xml:space="preserve">Cat III Multi-layer
(tonnes)</t>
  </si>
  <si>
    <t xml:space="preserve">Cat IV Compostable
(tonnes)</t>
  </si>
  <si>
    <t xml:space="preserve">Total Plastic
(tonnes)</t>
  </si>
  <si>
    <t xml:space="preserve">Cat I PCR
obligation (t)</t>
  </si>
  <si>
    <t xml:space="preserve">Cat II PCR
obligation (t)</t>
  </si>
  <si>
    <t xml:space="preserve">Cat III PCR
obligation (t)</t>
  </si>
  <si>
    <t xml:space="preserve">Total Recycled
(t needed)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</si>
  <si>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</si>
  <si>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</si>
  <si>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</si>
  <si>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</si>
  <si>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</si>
  <si>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</si>
  <si>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</si>
  <si>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</si>
  <si>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</si>
  <si>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</si>
  <si>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</si>
  <si>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</si>
  <si>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YEAR TOTAL
वार्षिक कुल</t>
  </si>
  <si>
    <t xml:space="preserve">📌 PCR target multipliers used (FY 2025-26): Cat I = 30% · Cat II = 10% · Cat III = 5%. Source: Plastic Waste Management (Amendment) Rules, 2026 — G.S.R. 237(E) dated 31 March 2026. For FY 2026-27 onwards, edit columns G/H/I formulas to update multipliers (Cat I → 40%, Cat II → 10%, Cat III → 5%; from 2027-28: Cat I → 50%, Cat II → 20%, Cat III → 10%).</t>
  </si>
  <si>
    <t xml:space="preserve">📚 EPR Compliance · Plastic Waste Management · CPCB Filing Tools       |       Doc Ref: VKS/EPR/MST/01-T3</t>
  </si>
  <si>
    <t xml:space="preserve">🧾 TAB 3 — RECYCLING CREDIT (EPR CERTIFICATE) PROCUREMENT LOG</t>
  </si>
  <si>
    <t xml:space="preserve">टैब 3 — रीसाइक्लिंग क्रेडिट लॉग  |  CPCB-approved recyclers से खरीदे गए EPR certificates</t>
  </si>
  <si>
    <t xml:space="preserve">Date
दिनांक</t>
  </si>
  <si>
    <t xml:space="preserve">Vendor / Recycler
वेंडर</t>
  </si>
  <si>
    <t xml:space="preserve">CPCB Reg No
रजि नं</t>
  </si>
  <si>
    <t xml:space="preserve">Certificate No
प्रमाणपत्र नं</t>
  </si>
  <si>
    <t xml:space="preserve">Category
श्रेणी</t>
  </si>
  <si>
    <t xml:space="preserve">Tonnage
(t)</t>
  </si>
  <si>
    <t xml:space="preserve">Rate (₹/t)
दर</t>
  </si>
  <si>
    <t xml:space="preserve">Total ₹
कुल</t>
  </si>
  <si>
    <t xml:space="preserve">Status
स्थिति</t>
  </si>
  <si>
    <t xml:space="preserve">TOTAL CREDITS PROCURED / कुल खरीदे गए क्रेडिट</t>
  </si>
  <si>
    <t xml:space="preserve">📌 EOL (End-of-Life) certificates — co-processing in cement/steel, waste-to-energy — are NO LONGER accepted to meet recycled content targets (effective 19 January 2026). Only certificates from CPCB-registered recyclers count. Verify each vendor on the CPCB EPR portal before payment. Current market rates (early 2026) range Cat I: ₹4-15/kg, Cat II: ₹6-20/kg, Cat III: ₹15-40/kg — supply-demand sensitive.</t>
  </si>
  <si>
    <t xml:space="preserve">Vivek Kumar (Privacy Papa) · M.Tech NIT Uttarakhand · 9+ Yrs Flexible Packaging  |  Doc Ref: VKS/EPR/MST/01-T4</t>
  </si>
  <si>
    <t xml:space="preserve">✅ TAB 4 — CPCB FILING CHECKLIST (Annual + Half-Yearly)</t>
  </si>
  <si>
    <t xml:space="preserve">टैब 4 — CPCB फाइलिंग चेकलिस्ट</t>
  </si>
  <si>
    <t xml:space="preserve">#</t>
  </si>
  <si>
    <t xml:space="preserve">Action / कार्रवाई</t>
  </si>
  <si>
    <t xml:space="preserve">Frequency / आवृत्ति</t>
  </si>
  <si>
    <t xml:space="preserve">Due Date / नियत तिथि</t>
  </si>
  <si>
    <t xml:space="preserve">Owner / स्वामी</t>
  </si>
  <si>
    <t xml:space="preserve">Status</t>
  </si>
  <si>
    <t xml:space="preserve">1</t>
  </si>
  <si>
    <t xml:space="preserve">Register on CPCB centralised EPR portal (cpcb.nic.in) as PIBO
CPCB EPR portal पर PIBO के रूप में रजिस्टर करें</t>
  </si>
  <si>
    <t xml:space="preserve">One-time</t>
  </si>
  <si>
    <t xml:space="preserve">Before first sale</t>
  </si>
  <si>
    <t xml:space="preserve">[Assign]</t>
  </si>
  <si>
    <t xml:space="preserve">2</t>
  </si>
  <si>
    <t xml:space="preserve">Display QR code / barcode on every plastic packaging — must show resin code, thickness (µ), manufacturer ID
हर plastic packaging पर QR/barcode जिसमें resin code, thickness, manufacturer ID हो</t>
  </si>
  <si>
    <t xml:space="preserve">Continuous</t>
  </si>
  <si>
    <t xml:space="preserve">In effect since 1 July 2025</t>
  </si>
  <si>
    <t xml:space="preserve">3</t>
  </si>
  <si>
    <t xml:space="preserve">Track monthly tonnage by Category (use Tab 2 of this workbook)
Category-wise मासिक tonnage track करें</t>
  </si>
  <si>
    <t xml:space="preserve">Monthly</t>
  </si>
  <si>
    <t xml:space="preserve">End of every month</t>
  </si>
  <si>
    <t xml:space="preserve">4</t>
  </si>
  <si>
    <t xml:space="preserve">Procure EPR certificates from CPCB-registered recyclers (use Tab 3)
CPCB-registered recyclers से EPR certificates खरीदें</t>
  </si>
  <si>
    <t xml:space="preserve">Quarterly</t>
  </si>
  <si>
    <t xml:space="preserve">Q1, Q2, Q3, Q4</t>
  </si>
  <si>
    <t xml:space="preserve">5</t>
  </si>
  <si>
    <t xml:space="preserve">File half-yearly EPR return on CPCB portal
CPCB portal पर अर्धवार्षिक EPR return file करें</t>
  </si>
  <si>
    <t xml:space="preserve">Half-yearly</t>
  </si>
  <si>
    <t xml:space="preserve">October 31 (Apr-Sep) &amp; April 30 (Oct-Mar)</t>
  </si>
  <si>
    <t xml:space="preserve">6</t>
  </si>
  <si>
    <t xml:space="preserve">File annual EPR return on CPCB portal
CPCB portal पर वार्षिक EPR return file करें</t>
  </si>
  <si>
    <t xml:space="preserve">Annual</t>
  </si>
  <si>
    <t xml:space="preserve">June 30 (for previous FY)</t>
  </si>
  <si>
    <t xml:space="preserve">7</t>
  </si>
  <si>
    <t xml:space="preserve">Declare recycled content % per category in annual return
Annual return में category-wise recycled content % declare करें</t>
  </si>
  <si>
    <t xml:space="preserve">June 30 (with annual return)</t>
  </si>
  <si>
    <t xml:space="preserve">8</t>
  </si>
  <si>
    <t xml:space="preserve">Maintain audit trail — invoices, certificates, batch records — for SPCB/CPCB inspection
SPCB/CPCB inspection के लिए invoices, certificates, batch records रखें</t>
  </si>
  <si>
    <t xml:space="preserve">Min 3 years retention</t>
  </si>
  <si>
    <t xml:space="preserve">9</t>
  </si>
  <si>
    <t xml:space="preserve">If Cat I/II/III shortfall, plan carry-forward — at least 1/3 deficit cleared annually
Shortfall पर carry-forward plan — हर साल कम-से-कम 1/3 deficit clear हो</t>
  </si>
  <si>
    <t xml:space="preserve">After annual return</t>
  </si>
  <si>
    <t xml:space="preserve">10</t>
  </si>
  <si>
    <t xml:space="preserve">Engage Registered Environment Auditor (per Environment Audit Rules, 2025) for verification
Registered Environment Auditor से verification कराएँ</t>
  </si>
  <si>
    <t xml:space="preserve">Before annual return</t>
  </si>
  <si>
    <t xml:space="preserve">11</t>
  </si>
  <si>
    <t xml:space="preserve">Notify CPCB of any change in production volume, product portfolio, or registered details
Production, portfolio, या registered details में बदलाव होने पर CPCB को notify करें</t>
  </si>
  <si>
    <t xml:space="preserve">As needed</t>
  </si>
  <si>
    <t xml:space="preserve">Within 30 days of change</t>
  </si>
  <si>
    <t xml:space="preserve">12</t>
  </si>
  <si>
    <t xml:space="preserve">Renew CPCB EPR registration
CPCB EPR registration renew करें</t>
  </si>
  <si>
    <t xml:space="preserve">Before expiry</t>
  </si>
  <si>
    <t xml:space="preserve">⚠ Always verify the latest CPCB notifications and deadlines on https://cpcb.nic.in/rules-4/ — rules and deadlines change. This checklist reflects the Plastic Waste Management (Amendment) Rules, 2026 (G.S.R. 237(E)) as on May 2026.</t>
  </si>
  <si>
    <t xml:space="preserve">Vivek Kumar (Privacy Papa) · M.Tech NIT Uttarakhand · 9+ Yrs Flexible Packaging  |  Doc Ref: VKS/EPR/MST/01-T5</t>
  </si>
  <si>
    <t xml:space="preserve">📊 TAB 5 — COMPLIANCE DASHBOARD</t>
  </si>
  <si>
    <t xml:space="preserve">टैब 5 — अनुपालन डैशबोर्ड  |  Auto-rolled-up summary</t>
  </si>
  <si>
    <t xml:space="preserve">🏷️ TOTAL PLASTIC PACKAGED THIS YEAR (Cat I+II+III, tonnes)</t>
  </si>
  <si>
    <t xml:space="preserve">⚖ TOTAL PCR OBLIGATION (tonnes needed)</t>
  </si>
  <si>
    <t xml:space="preserve">🧾 TOTAL CREDITS PROCURED (tonnes)</t>
  </si>
  <si>
    <t xml:space="preserve">🔻 GAP / SHORTFALL (tonnes)</t>
  </si>
  <si>
    <t xml:space="preserve">💰 TOTAL ₹ SPENT ON CREDITS</t>
  </si>
  <si>
    <t xml:space="preserve">📈 COMPLIANCE % (Procured ÷ Obligation)</t>
  </si>
  <si>
    <t xml:space="preserve">🚦 STATUS VERDICT — Where do you stand?</t>
  </si>
  <si>
    <t xml:space="preserve">🎯 COMPLIANCE TIERS</t>
  </si>
  <si>
    <t xml:space="preserve">≥ 100%</t>
  </si>
  <si>
    <t xml:space="preserve">✅ Compliant — credits ≥ obligation. Maintain documentation.</t>
  </si>
  <si>
    <t xml:space="preserve">67% – 99%</t>
  </si>
  <si>
    <t xml:space="preserve">⚠ At risk — gap exists. Use carry-forward (1/3 each year for 3 years) or buy more credits.</t>
  </si>
  <si>
    <t xml:space="preserve">&lt; 67%</t>
  </si>
  <si>
    <t xml:space="preserve">❌ Non-compliant — major shortfall. Risk of EC penalty (₹10,000–₹15 lakh + daily fine). Act now.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</si>
</sst>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0"/>
    <numFmt numFmtId="167" formatCode="#,##0"/>
    <numFmt numFmtId="168" formatCode="\₹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E85D26"/>
      <name val="Arial"/>
      <family val="0"/>
      <charset val="1"/>
    </font>
    <font>
      <b val="true"/>
      <sz val="10"/>
      <color rgb="FF0D8C7E"/>
      <name val="Arial"/>
      <family val="0"/>
      <charset val="1"/>
    </font>
    <font>
      <sz val="10"/>
      <color rgb="FF1A27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sz val="10"/>
      <color rgb="FFC5320E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b val="true"/>
      <sz val="11"/>
      <color rgb="FFE85D26"/>
      <name val="Arial"/>
      <family val="0"/>
      <charset val="1"/>
    </font>
    <font>
      <i val="true"/>
      <sz val="10"/>
      <color rgb="FF0D8C7E"/>
      <name val="Arial"/>
      <family val="0"/>
      <charset val="1"/>
    </font>
    <font>
      <i val="true"/>
      <sz val="10"/>
      <color rgb="FFE85D26"/>
      <name val="Arial"/>
      <family val="0"/>
      <charset val="1"/>
    </font>
    <font>
      <b val="true"/>
      <sz val="12"/>
      <color rgb="FF1A2744"/>
      <name val="Arial"/>
      <family val="0"/>
      <charset val="1"/>
    </font>
    <font>
      <b val="true"/>
      <sz val="10"/>
      <color rgb="FFCC88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CC880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FFE5E0"/>
        <bgColor rgb="FFFCE5D7"/>
      </patternFill>
    </fill>
    <fill>
      <patternFill patternType="solid">
        <fgColor rgb="FFFCE5D7"/>
        <bgColor rgb="FFFFE5E0"/>
      </patternFill>
    </fill>
    <fill>
      <patternFill patternType="solid">
        <fgColor rgb="FFFFE0CC"/>
        <bgColor rgb="FFFCE5D7"/>
      </patternFill>
    </fill>
    <fill>
      <patternFill patternType="solid">
        <fgColor rgb="FFD9EDE9"/>
        <bgColor rgb="FFE8EBF1"/>
      </patternFill>
    </fill>
    <fill>
      <patternFill patternType="solid">
        <fgColor rgb="FFFFFAF0"/>
        <bgColor rgb="FFFFFFFF"/>
      </patternFill>
    </fill>
    <fill>
      <patternFill patternType="solid">
        <fgColor rgb="FFE8EBF1"/>
        <bgColor rgb="FFF4EDE2"/>
      </patternFill>
    </fill>
    <fill>
      <patternFill patternType="solid">
        <fgColor rgb="FFC5320E"/>
        <bgColor rgb="FF993366"/>
      </patternFill>
    </fill>
    <fill>
      <patternFill patternType="solid">
        <fgColor rgb="FFFFFFCC"/>
        <bgColor rgb="FFFFFA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8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FFFAF0"/>
      <rgbColor rgb="FF888888"/>
      <rgbColor rgb="FF9999FF"/>
      <rgbColor rgb="FF993366"/>
      <rgbColor rgb="FFFFFFCC"/>
      <rgbColor rgb="FFD9EDE9"/>
      <rgbColor rgb="FF660066"/>
      <rgbColor rgb="FFFF8080"/>
      <rgbColor rgb="FF0066CC"/>
      <rgbColor rgb="FFFFE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1"/>
      <rgbColor rgb="FFF4EDE2"/>
      <rgbColor rgb="FFFCE5D7"/>
      <rgbColor rgb="FF99CCFF"/>
      <rgbColor rgb="FFFF99CC"/>
      <rgbColor rgb="FFCC99FF"/>
      <rgbColor rgb="FFFFE0CC"/>
      <rgbColor rgb="FF3366FF"/>
      <rgbColor rgb="FF33CCCC"/>
      <rgbColor rgb="FF99CC00"/>
      <rgbColor rgb="FFFFCC00"/>
      <rgbColor rgb="FFCC8800"/>
      <rgbColor rgb="FFE85D26"/>
      <rgbColor rgb="FF555555"/>
      <rgbColor rgb="FF969696"/>
      <rgbColor rgb="FF003366"/>
      <rgbColor rgb="FF339966"/>
      <rgbColor rgb="FF003300"/>
      <rgbColor rgb="FF333300"/>
      <rgbColor rgb="FFC5320E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742320</xdr:colOff>
      <xdr:row>2</xdr:row>
      <xdr:rowOff>189720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320" cy="74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713520</xdr:colOff>
      <xdr:row>2</xdr:row>
      <xdr:rowOff>132480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713520</xdr:colOff>
      <xdr:row>2</xdr:row>
      <xdr:rowOff>132480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713520</xdr:colOff>
      <xdr:row>2</xdr:row>
      <xdr:rowOff>132480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389880</xdr:colOff>
      <xdr:row>2</xdr:row>
      <xdr:rowOff>189720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742320" cy="74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742320</xdr:colOff>
      <xdr:row>2</xdr:row>
      <xdr:rowOff>189720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742320" cy="742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2"/>
  </cols>
  <sheetData>
    <row r="1" customFormat="false" ht="18" hidden="false" customHeight="true" outlineLevel="0" collapsed="false">
      <c r="A1" s="2"/>
      <c r="B1" s="3" t="s">
        <v>0</v>
      </c>
      <c r="C1" s="3"/>
      <c r="D1" s="3"/>
      <c r="E1" s="3"/>
      <c r="F1" s="3"/>
    </row>
    <row r="2" customFormat="false" ht="25.5" hidden="false" customHeight="true" outlineLevel="0" collapsed="false">
      <c r="A2" s="2"/>
      <c r="B2" s="4" t="s">
        <v>1</v>
      </c>
      <c r="C2" s="4"/>
      <c r="D2" s="4"/>
      <c r="E2" s="4"/>
      <c r="F2" s="4"/>
    </row>
    <row r="3" customFormat="false" ht="21.75" hidden="false" customHeight="true" outlineLevel="0" collapsed="false">
      <c r="A3" s="2"/>
      <c r="B3" s="5" t="s">
        <v>2</v>
      </c>
      <c r="C3" s="5"/>
      <c r="D3" s="5"/>
      <c r="E3" s="5"/>
      <c r="F3" s="5"/>
    </row>
    <row r="4" customFormat="false" ht="15.75" hidden="false" customHeight="true" outlineLevel="0" collapsed="false">
      <c r="A4" s="2"/>
      <c r="B4" s="6" t="s">
        <v>3</v>
      </c>
      <c r="C4" s="6"/>
      <c r="D4" s="6"/>
      <c r="E4" s="6"/>
      <c r="F4" s="6"/>
    </row>
    <row r="5" customFormat="false" ht="6" hidden="false" customHeight="true" outlineLevel="0" collapsed="false"/>
    <row r="6" customFormat="false" ht="30" hidden="false" customHeight="true" outlineLevel="0" collapsed="false">
      <c r="A6" s="7" t="s">
        <v>4</v>
      </c>
      <c r="B6" s="7"/>
      <c r="C6" s="7"/>
      <c r="D6" s="7"/>
      <c r="E6" s="7"/>
      <c r="F6" s="7"/>
    </row>
    <row r="7" customFormat="false" ht="24" hidden="false" customHeight="true" outlineLevel="0" collapsed="false">
      <c r="A7" s="8" t="s">
        <v>5</v>
      </c>
      <c r="B7" s="8"/>
      <c r="C7" s="8"/>
      <c r="D7" s="8"/>
      <c r="E7" s="8"/>
      <c r="F7" s="8"/>
    </row>
    <row r="9" customFormat="false" ht="15" hidden="false" customHeight="true" outlineLevel="0" collapsed="false">
      <c r="A9" s="9" t="s">
        <v>6</v>
      </c>
      <c r="B9" s="9"/>
      <c r="C9" s="9"/>
      <c r="D9" s="9"/>
      <c r="E9" s="9"/>
      <c r="F9" s="9"/>
    </row>
    <row r="10" customFormat="false" ht="60" hidden="false" customHeight="true" outlineLevel="0" collapsed="false">
      <c r="A10" s="10" t="s">
        <v>7</v>
      </c>
      <c r="B10" s="10"/>
      <c r="C10" s="10"/>
      <c r="D10" s="10"/>
      <c r="E10" s="10"/>
      <c r="F10" s="10"/>
    </row>
    <row r="12" customFormat="false" ht="15" hidden="false" customHeight="true" outlineLevel="0" collapsed="false">
      <c r="A12" s="9" t="s">
        <v>8</v>
      </c>
      <c r="B12" s="9"/>
      <c r="C12" s="9"/>
      <c r="D12" s="9"/>
      <c r="E12" s="9"/>
      <c r="F12" s="9"/>
    </row>
    <row r="13" customFormat="false" ht="60" hidden="false" customHeight="true" outlineLevel="0" collapsed="false">
      <c r="A13" s="10" t="s">
        <v>9</v>
      </c>
      <c r="B13" s="10"/>
      <c r="C13" s="10"/>
      <c r="D13" s="10"/>
      <c r="E13" s="10"/>
      <c r="F13" s="10"/>
    </row>
    <row r="15" customFormat="false" ht="15" hidden="false" customHeight="true" outlineLevel="0" collapsed="false">
      <c r="A15" s="9" t="s">
        <v>10</v>
      </c>
      <c r="B15" s="9"/>
      <c r="C15" s="9"/>
      <c r="D15" s="9"/>
      <c r="E15" s="9"/>
      <c r="F15" s="9"/>
    </row>
    <row r="16" customFormat="false" ht="60" hidden="false" customHeight="true" outlineLevel="0" collapsed="false">
      <c r="A16" s="10" t="s">
        <v>11</v>
      </c>
      <c r="B16" s="10"/>
      <c r="C16" s="10"/>
      <c r="D16" s="10"/>
      <c r="E16" s="10"/>
      <c r="F16" s="10"/>
    </row>
    <row r="18" customFormat="false" ht="15" hidden="false" customHeight="true" outlineLevel="0" collapsed="false">
      <c r="A18" s="9" t="s">
        <v>12</v>
      </c>
      <c r="B18" s="9"/>
      <c r="C18" s="9"/>
      <c r="D18" s="9"/>
      <c r="E18" s="9"/>
      <c r="F18" s="9"/>
    </row>
    <row r="19" customFormat="false" ht="60" hidden="false" customHeight="true" outlineLevel="0" collapsed="false">
      <c r="A19" s="10" t="s">
        <v>13</v>
      </c>
      <c r="B19" s="10"/>
      <c r="C19" s="10"/>
      <c r="D19" s="10"/>
      <c r="E19" s="10"/>
      <c r="F19" s="10"/>
    </row>
    <row r="21" customFormat="false" ht="15" hidden="false" customHeight="true" outlineLevel="0" collapsed="false">
      <c r="A21" s="9" t="s">
        <v>14</v>
      </c>
      <c r="B21" s="9"/>
      <c r="C21" s="9"/>
      <c r="D21" s="9"/>
      <c r="E21" s="9"/>
      <c r="F21" s="9"/>
    </row>
    <row r="22" customFormat="false" ht="60" hidden="false" customHeight="true" outlineLevel="0" collapsed="false">
      <c r="A22" s="10" t="s">
        <v>15</v>
      </c>
      <c r="B22" s="10"/>
      <c r="C22" s="10"/>
      <c r="D22" s="10"/>
      <c r="E22" s="10"/>
      <c r="F22" s="10"/>
    </row>
    <row r="24" customFormat="false" ht="15" hidden="false" customHeight="true" outlineLevel="0" collapsed="false">
      <c r="A24" s="9" t="s">
        <v>16</v>
      </c>
      <c r="B24" s="9"/>
      <c r="C24" s="9"/>
      <c r="D24" s="9"/>
      <c r="E24" s="9"/>
      <c r="F24" s="9"/>
    </row>
    <row r="25" customFormat="false" ht="60" hidden="false" customHeight="true" outlineLevel="0" collapsed="false">
      <c r="A25" s="10" t="s">
        <v>17</v>
      </c>
      <c r="B25" s="10"/>
      <c r="C25" s="10"/>
      <c r="D25" s="10"/>
      <c r="E25" s="10"/>
      <c r="F25" s="10"/>
    </row>
    <row r="27" customFormat="false" ht="15" hidden="false" customHeight="true" outlineLevel="0" collapsed="false">
      <c r="A27" s="9" t="s">
        <v>18</v>
      </c>
      <c r="B27" s="9"/>
      <c r="C27" s="9"/>
      <c r="D27" s="9"/>
      <c r="E27" s="9"/>
      <c r="F27" s="9"/>
    </row>
    <row r="28" customFormat="false" ht="60" hidden="false" customHeight="true" outlineLevel="0" collapsed="false">
      <c r="A28" s="10" t="s">
        <v>19</v>
      </c>
      <c r="B28" s="10"/>
      <c r="C28" s="10"/>
      <c r="D28" s="10"/>
      <c r="E28" s="10"/>
      <c r="F28" s="10"/>
    </row>
    <row r="30" customFormat="false" ht="15" hidden="false" customHeight="true" outlineLevel="0" collapsed="false">
      <c r="A30" s="9" t="s">
        <v>20</v>
      </c>
      <c r="B30" s="9"/>
      <c r="C30" s="9"/>
      <c r="D30" s="9"/>
      <c r="E30" s="9"/>
      <c r="F30" s="9"/>
    </row>
    <row r="31" customFormat="false" ht="60" hidden="false" customHeight="true" outlineLevel="0" collapsed="false">
      <c r="A31" s="10" t="s">
        <v>21</v>
      </c>
      <c r="B31" s="10"/>
      <c r="C31" s="10"/>
      <c r="D31" s="10"/>
      <c r="E31" s="10"/>
      <c r="F31" s="10"/>
    </row>
    <row r="35" customFormat="false" ht="3.75" hidden="false" customHeight="true" outlineLevel="0" collapsed="false">
      <c r="A35" s="11"/>
      <c r="B35" s="11"/>
      <c r="C35" s="11"/>
      <c r="D35" s="11"/>
      <c r="E35" s="11"/>
      <c r="F35" s="11"/>
    </row>
    <row r="36" customFormat="false" ht="19.5" hidden="false" customHeight="true" outlineLevel="0" collapsed="false">
      <c r="A36" s="12" t="s">
        <v>22</v>
      </c>
      <c r="B36" s="12"/>
      <c r="C36" s="12"/>
      <c r="D36" s="12"/>
      <c r="E36" s="12"/>
      <c r="F36" s="12"/>
    </row>
    <row r="37" customFormat="false" ht="21.75" hidden="false" customHeight="true" outlineLevel="0" collapsed="false">
      <c r="A37" s="13" t="s">
        <v>23</v>
      </c>
      <c r="B37" s="13"/>
      <c r="C37" s="13"/>
      <c r="D37" s="13"/>
      <c r="E37" s="13"/>
      <c r="F37" s="13"/>
    </row>
  </sheetData>
  <mergeCells count="26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4:F24"/>
    <mergeCell ref="A25:F25"/>
    <mergeCell ref="A27:F27"/>
    <mergeCell ref="A28:F28"/>
    <mergeCell ref="A30:F30"/>
    <mergeCell ref="A31:F31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9" min="7" style="1" width="11"/>
    <col collapsed="false" customWidth="true" hidden="false" outlineLevel="0" max="10" min="10" style="1" width="22"/>
  </cols>
  <sheetData>
    <row r="1" customFormat="false" ht="18" hidden="false" customHeight="true" outlineLevel="0" collapsed="false">
      <c r="A1" s="2"/>
      <c r="B1" s="2"/>
      <c r="C1" s="3" t="s">
        <v>24</v>
      </c>
      <c r="D1" s="3"/>
      <c r="E1" s="3"/>
      <c r="F1" s="3"/>
      <c r="G1" s="3"/>
      <c r="H1" s="3"/>
      <c r="I1" s="3"/>
      <c r="J1" s="3"/>
    </row>
    <row r="2" customFormat="false" ht="27.75" hidden="false" customHeight="true" outlineLevel="0" collapsed="false">
      <c r="A2" s="2"/>
      <c r="B2" s="2"/>
      <c r="C2" s="7" t="s">
        <v>25</v>
      </c>
      <c r="D2" s="7"/>
      <c r="E2" s="7"/>
      <c r="F2" s="7"/>
      <c r="G2" s="7"/>
      <c r="H2" s="7"/>
      <c r="I2" s="7"/>
      <c r="J2" s="7"/>
    </row>
    <row r="3" customFormat="false" ht="19.5" hidden="false" customHeight="true" outlineLevel="0" collapsed="false">
      <c r="A3" s="2"/>
      <c r="B3" s="2"/>
      <c r="C3" s="14" t="s">
        <v>26</v>
      </c>
      <c r="D3" s="14"/>
      <c r="E3" s="14"/>
      <c r="F3" s="14"/>
      <c r="G3" s="14"/>
      <c r="H3" s="14"/>
      <c r="I3" s="14"/>
      <c r="J3" s="14"/>
    </row>
    <row r="4" customFormat="false" ht="6" hidden="false" customHeight="true" outlineLevel="0" collapsed="false"/>
    <row r="5" customFormat="false" ht="25.5" hidden="false" customHeight="true" outlineLevel="0" collapsed="false">
      <c r="A5" s="15" t="s">
        <v>27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19.5" hidden="false" customHeight="true" outlineLevel="0" collapsed="false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</row>
    <row r="8" customFormat="false" ht="37.5" hidden="false" customHeight="true" outlineLevel="0" collapsed="false">
      <c r="A8" s="16" t="s">
        <v>29</v>
      </c>
      <c r="B8" s="16" t="s">
        <v>30</v>
      </c>
      <c r="C8" s="16" t="s">
        <v>31</v>
      </c>
      <c r="D8" s="16" t="s">
        <v>32</v>
      </c>
      <c r="E8" s="16" t="s">
        <v>33</v>
      </c>
      <c r="F8" s="16" t="s">
        <v>34</v>
      </c>
      <c r="G8" s="16" t="s">
        <v>35</v>
      </c>
      <c r="H8" s="16" t="s">
        <v>36</v>
      </c>
      <c r="I8" s="16" t="s">
        <v>37</v>
      </c>
      <c r="J8" s="16" t="s">
        <v>38</v>
      </c>
    </row>
    <row r="9" customFormat="false" ht="24" hidden="false" customHeight="true" outlineLevel="0" collapsed="false">
      <c r="A9" s="17" t="s">
        <v>39</v>
      </c>
      <c r="B9" s="17" t="s">
        <v>40</v>
      </c>
      <c r="C9" s="18" t="s">
        <v>41</v>
      </c>
      <c r="D9" s="19" t="n">
        <v>12</v>
      </c>
      <c r="E9" s="19" t="s">
        <v>42</v>
      </c>
      <c r="F9" s="20" t="s">
        <v>43</v>
      </c>
      <c r="G9" s="21" t="n">
        <f aca="false">IF(LEFT(F9,5)="Cat I",30%,IF(LEFT(F9,6)="Cat II",IF(LEFT(F9,7)="Cat III",5%,10%),IF(LEFT(F9,6)="Cat IV",100%,"")))</f>
        <v>0.3</v>
      </c>
      <c r="H9" s="21" t="n">
        <f aca="false">IF(LEFT(F9,5)="Cat I",40%,IF(LEFT(F9,6)="Cat II",IF(LEFT(F9,7)="Cat III",5%,10%),IF(LEFT(F9,6)="Cat IV",100%,"")))</f>
        <v>0.4</v>
      </c>
      <c r="I9" s="21" t="n">
        <f aca="false">IF(LEFT(F9,5)="Cat I",50%,IF(LEFT(F9,6)="Cat II",IF(LEFT(F9,7)="Cat III",10%,20%),IF(LEFT(F9,6)="Cat IV",100%,"")))</f>
        <v>0.5</v>
      </c>
      <c r="J9" s="17" t="s">
        <v>44</v>
      </c>
    </row>
    <row r="10" customFormat="false" ht="24" hidden="false" customHeight="true" outlineLevel="0" collapsed="false">
      <c r="A10" s="17" t="s">
        <v>45</v>
      </c>
      <c r="B10" s="17" t="s">
        <v>46</v>
      </c>
      <c r="C10" s="18" t="s">
        <v>47</v>
      </c>
      <c r="D10" s="19" t="n">
        <v>18</v>
      </c>
      <c r="E10" s="19" t="s">
        <v>48</v>
      </c>
      <c r="F10" s="20" t="s">
        <v>43</v>
      </c>
      <c r="G10" s="21" t="n">
        <f aca="false">IF(LEFT(F10,5)="Cat I",30%,IF(LEFT(F10,6)="Cat II",IF(LEFT(F10,7)="Cat III",5%,10%),IF(LEFT(F10,6)="Cat IV",100%,"")))</f>
        <v>0.3</v>
      </c>
      <c r="H10" s="21" t="n">
        <f aca="false">IF(LEFT(F10,5)="Cat I",40%,IF(LEFT(F10,6)="Cat II",IF(LEFT(F10,7)="Cat III",5%,10%),IF(LEFT(F10,6)="Cat IV",100%,"")))</f>
        <v>0.4</v>
      </c>
      <c r="I10" s="21" t="n">
        <f aca="false">IF(LEFT(F10,5)="Cat I",50%,IF(LEFT(F10,6)="Cat II",IF(LEFT(F10,7)="Cat III",10%,20%),IF(LEFT(F10,6)="Cat IV",100%,"")))</f>
        <v>0.5</v>
      </c>
      <c r="J10" s="17" t="s">
        <v>44</v>
      </c>
    </row>
    <row r="11" customFormat="false" ht="24" hidden="false" customHeight="true" outlineLevel="0" collapsed="false">
      <c r="A11" s="17" t="s">
        <v>49</v>
      </c>
      <c r="B11" s="17" t="s">
        <v>50</v>
      </c>
      <c r="C11" s="18" t="s">
        <v>51</v>
      </c>
      <c r="D11" s="19" t="n">
        <v>22</v>
      </c>
      <c r="E11" s="19" t="s">
        <v>48</v>
      </c>
      <c r="F11" s="20" t="s">
        <v>43</v>
      </c>
      <c r="G11" s="21" t="n">
        <f aca="false">IF(LEFT(F11,5)="Cat I",30%,IF(LEFT(F11,6)="Cat II",IF(LEFT(F11,7)="Cat III",5%,10%),IF(LEFT(F11,6)="Cat IV",100%,"")))</f>
        <v>0.3</v>
      </c>
      <c r="H11" s="21" t="n">
        <f aca="false">IF(LEFT(F11,5)="Cat I",40%,IF(LEFT(F11,6)="Cat II",IF(LEFT(F11,7)="Cat III",5%,10%),IF(LEFT(F11,6)="Cat IV",100%,"")))</f>
        <v>0.4</v>
      </c>
      <c r="I11" s="21" t="n">
        <f aca="false">IF(LEFT(F11,5)="Cat I",50%,IF(LEFT(F11,6)="Cat II",IF(LEFT(F11,7)="Cat III",10%,20%),IF(LEFT(F11,6)="Cat IV",100%,"")))</f>
        <v>0.5</v>
      </c>
      <c r="J11" s="17" t="s">
        <v>44</v>
      </c>
    </row>
    <row r="12" customFormat="false" ht="24" hidden="false" customHeight="true" outlineLevel="0" collapsed="false">
      <c r="A12" s="17" t="s">
        <v>52</v>
      </c>
      <c r="B12" s="17" t="s">
        <v>53</v>
      </c>
      <c r="C12" s="18" t="s">
        <v>54</v>
      </c>
      <c r="D12" s="19" t="n">
        <v>75</v>
      </c>
      <c r="E12" s="19" t="s">
        <v>42</v>
      </c>
      <c r="F12" s="20" t="s">
        <v>55</v>
      </c>
      <c r="G12" s="21" t="n">
        <f aca="false">IF(LEFT(F12,5)="Cat I",30%,IF(LEFT(F12,6)="Cat II",IF(LEFT(F12,7)="Cat III",5%,10%),IF(LEFT(F12,6)="Cat IV",100%,"")))</f>
        <v>0.3</v>
      </c>
      <c r="H12" s="21" t="n">
        <f aca="false">IF(LEFT(F12,5)="Cat I",40%,IF(LEFT(F12,6)="Cat II",IF(LEFT(F12,7)="Cat III",5%,10%),IF(LEFT(F12,6)="Cat IV",100%,"")))</f>
        <v>0.4</v>
      </c>
      <c r="I12" s="21" t="n">
        <f aca="false">IF(LEFT(F12,5)="Cat I",50%,IF(LEFT(F12,6)="Cat II",IF(LEFT(F12,7)="Cat III",10%,20%),IF(LEFT(F12,6)="Cat IV",100%,"")))</f>
        <v>0.5</v>
      </c>
      <c r="J12" s="17" t="s">
        <v>56</v>
      </c>
    </row>
    <row r="13" customFormat="false" ht="24" hidden="false" customHeight="true" outlineLevel="0" collapsed="false">
      <c r="A13" s="17" t="s">
        <v>57</v>
      </c>
      <c r="B13" s="17" t="s">
        <v>58</v>
      </c>
      <c r="C13" s="18" t="s">
        <v>59</v>
      </c>
      <c r="D13" s="19" t="n">
        <v>250</v>
      </c>
      <c r="E13" s="19" t="s">
        <v>60</v>
      </c>
      <c r="F13" s="20" t="s">
        <v>61</v>
      </c>
      <c r="G13" s="21" t="n">
        <f aca="false">IF(LEFT(F13,5)="Cat I",30%,IF(LEFT(F13,6)="Cat II",IF(LEFT(F13,7)="Cat III",5%,10%),IF(LEFT(F13,6)="Cat IV",100%,"")))</f>
        <v>0.3</v>
      </c>
      <c r="H13" s="21" t="n">
        <f aca="false">IF(LEFT(F13,5)="Cat I",40%,IF(LEFT(F13,6)="Cat II",IF(LEFT(F13,7)="Cat III",5%,10%),IF(LEFT(F13,6)="Cat IV",100%,"")))</f>
        <v>0.4</v>
      </c>
      <c r="I13" s="21" t="n">
        <f aca="false">IF(LEFT(F13,5)="Cat I",50%,IF(LEFT(F13,6)="Cat II",IF(LEFT(F13,7)="Cat III",10%,20%),IF(LEFT(F13,6)="Cat IV",100%,"")))</f>
        <v>0.5</v>
      </c>
      <c r="J13" s="17" t="s">
        <v>62</v>
      </c>
    </row>
    <row r="14" customFormat="false" ht="24" hidden="false" customHeight="true" outlineLevel="0" collapsed="false">
      <c r="A14" s="22"/>
      <c r="B14" s="22"/>
      <c r="C14" s="18"/>
      <c r="D14" s="19"/>
      <c r="E14" s="19"/>
      <c r="F14" s="20"/>
      <c r="G14" s="21" t="str">
        <f aca="false">IF(LEFT(F14,5)="Cat I",30%,IF(LEFT(F14,6)="Cat II",IF(LEFT(F14,7)="Cat III",5%,10%),IF(LEFT(F14,6)="Cat IV",100%,"")))</f>
        <v/>
      </c>
      <c r="H14" s="21" t="str">
        <f aca="false">IF(LEFT(F14,5)="Cat I",40%,IF(LEFT(F14,6)="Cat II",IF(LEFT(F14,7)="Cat III",5%,10%),IF(LEFT(F14,6)="Cat IV",100%,"")))</f>
        <v/>
      </c>
      <c r="I14" s="21" t="str">
        <f aca="false">IF(LEFT(F14,5)="Cat I",50%,IF(LEFT(F14,6)="Cat II",IF(LEFT(F14,7)="Cat III",10%,20%),IF(LEFT(F14,6)="Cat IV",100%,"")))</f>
        <v/>
      </c>
      <c r="J14" s="17"/>
    </row>
    <row r="15" customFormat="false" ht="24" hidden="false" customHeight="true" outlineLevel="0" collapsed="false">
      <c r="A15" s="22"/>
      <c r="B15" s="22"/>
      <c r="C15" s="18"/>
      <c r="D15" s="19"/>
      <c r="E15" s="19"/>
      <c r="F15" s="20"/>
      <c r="G15" s="21" t="str">
        <f aca="false">IF(LEFT(F15,5)="Cat I",30%,IF(LEFT(F15,6)="Cat II",IF(LEFT(F15,7)="Cat III",5%,10%),IF(LEFT(F15,6)="Cat IV",100%,"")))</f>
        <v/>
      </c>
      <c r="H15" s="21" t="str">
        <f aca="false">IF(LEFT(F15,5)="Cat I",40%,IF(LEFT(F15,6)="Cat II",IF(LEFT(F15,7)="Cat III",5%,10%),IF(LEFT(F15,6)="Cat IV",100%,"")))</f>
        <v/>
      </c>
      <c r="I15" s="21" t="str">
        <f aca="false">IF(LEFT(F15,5)="Cat I",50%,IF(LEFT(F15,6)="Cat II",IF(LEFT(F15,7)="Cat III",10%,20%),IF(LEFT(F15,6)="Cat IV",100%,"")))</f>
        <v/>
      </c>
      <c r="J15" s="17"/>
    </row>
    <row r="16" customFormat="false" ht="24" hidden="false" customHeight="true" outlineLevel="0" collapsed="false">
      <c r="A16" s="22"/>
      <c r="B16" s="22"/>
      <c r="C16" s="18"/>
      <c r="D16" s="19"/>
      <c r="E16" s="19"/>
      <c r="F16" s="20"/>
      <c r="G16" s="21" t="str">
        <f aca="false">IF(LEFT(F16,5)="Cat I",30%,IF(LEFT(F16,6)="Cat II",IF(LEFT(F16,7)="Cat III",5%,10%),IF(LEFT(F16,6)="Cat IV",100%,"")))</f>
        <v/>
      </c>
      <c r="H16" s="21" t="str">
        <f aca="false">IF(LEFT(F16,5)="Cat I",40%,IF(LEFT(F16,6)="Cat II",IF(LEFT(F16,7)="Cat III",5%,10%),IF(LEFT(F16,6)="Cat IV",100%,"")))</f>
        <v/>
      </c>
      <c r="I16" s="21" t="str">
        <f aca="false">IF(LEFT(F16,5)="Cat I",50%,IF(LEFT(F16,6)="Cat II",IF(LEFT(F16,7)="Cat III",10%,20%),IF(LEFT(F16,6)="Cat IV",100%,"")))</f>
        <v/>
      </c>
      <c r="J16" s="17"/>
    </row>
    <row r="17" customFormat="false" ht="24" hidden="false" customHeight="true" outlineLevel="0" collapsed="false">
      <c r="A17" s="22"/>
      <c r="B17" s="22"/>
      <c r="C17" s="18"/>
      <c r="D17" s="19"/>
      <c r="E17" s="19"/>
      <c r="F17" s="20"/>
      <c r="G17" s="21" t="str">
        <f aca="false">IF(LEFT(F17,5)="Cat I",30%,IF(LEFT(F17,6)="Cat II",IF(LEFT(F17,7)="Cat III",5%,10%),IF(LEFT(F17,6)="Cat IV",100%,"")))</f>
        <v/>
      </c>
      <c r="H17" s="21" t="str">
        <f aca="false">IF(LEFT(F17,5)="Cat I",40%,IF(LEFT(F17,6)="Cat II",IF(LEFT(F17,7)="Cat III",5%,10%),IF(LEFT(F17,6)="Cat IV",100%,"")))</f>
        <v/>
      </c>
      <c r="I17" s="21" t="str">
        <f aca="false">IF(LEFT(F17,5)="Cat I",50%,IF(LEFT(F17,6)="Cat II",IF(LEFT(F17,7)="Cat III",10%,20%),IF(LEFT(F17,6)="Cat IV",100%,"")))</f>
        <v/>
      </c>
      <c r="J17" s="17"/>
    </row>
    <row r="18" customFormat="false" ht="24" hidden="false" customHeight="true" outlineLevel="0" collapsed="false">
      <c r="A18" s="22"/>
      <c r="B18" s="22"/>
      <c r="C18" s="18"/>
      <c r="D18" s="19"/>
      <c r="E18" s="19"/>
      <c r="F18" s="20"/>
      <c r="G18" s="21" t="str">
        <f aca="false">IF(LEFT(F18,5)="Cat I",30%,IF(LEFT(F18,6)="Cat II",IF(LEFT(F18,7)="Cat III",5%,10%),IF(LEFT(F18,6)="Cat IV",100%,"")))</f>
        <v/>
      </c>
      <c r="H18" s="21" t="str">
        <f aca="false">IF(LEFT(F18,5)="Cat I",40%,IF(LEFT(F18,6)="Cat II",IF(LEFT(F18,7)="Cat III",5%,10%),IF(LEFT(F18,6)="Cat IV",100%,"")))</f>
        <v/>
      </c>
      <c r="I18" s="21" t="str">
        <f aca="false">IF(LEFT(F18,5)="Cat I",50%,IF(LEFT(F18,6)="Cat II",IF(LEFT(F18,7)="Cat III",10%,20%),IF(LEFT(F18,6)="Cat IV",100%,"")))</f>
        <v/>
      </c>
      <c r="J18" s="17"/>
    </row>
    <row r="19" customFormat="false" ht="24" hidden="false" customHeight="true" outlineLevel="0" collapsed="false">
      <c r="A19" s="22"/>
      <c r="B19" s="22"/>
      <c r="C19" s="18"/>
      <c r="D19" s="19"/>
      <c r="E19" s="19"/>
      <c r="F19" s="20"/>
      <c r="G19" s="21" t="str">
        <f aca="false">IF(LEFT(F19,5)="Cat I",30%,IF(LEFT(F19,6)="Cat II",IF(LEFT(F19,7)="Cat III",5%,10%),IF(LEFT(F19,6)="Cat IV",100%,"")))</f>
        <v/>
      </c>
      <c r="H19" s="21" t="str">
        <f aca="false">IF(LEFT(F19,5)="Cat I",40%,IF(LEFT(F19,6)="Cat II",IF(LEFT(F19,7)="Cat III",5%,10%),IF(LEFT(F19,6)="Cat IV",100%,"")))</f>
        <v/>
      </c>
      <c r="I19" s="21" t="str">
        <f aca="false">IF(LEFT(F19,5)="Cat I",50%,IF(LEFT(F19,6)="Cat II",IF(LEFT(F19,7)="Cat III",10%,20%),IF(LEFT(F19,6)="Cat IV",100%,"")))</f>
        <v/>
      </c>
      <c r="J19" s="17"/>
    </row>
    <row r="20" customFormat="false" ht="24" hidden="false" customHeight="true" outlineLevel="0" collapsed="false">
      <c r="A20" s="22"/>
      <c r="B20" s="22"/>
      <c r="C20" s="18"/>
      <c r="D20" s="19"/>
      <c r="E20" s="19"/>
      <c r="F20" s="20"/>
      <c r="G20" s="21" t="str">
        <f aca="false">IF(LEFT(F20,5)="Cat I",30%,IF(LEFT(F20,6)="Cat II",IF(LEFT(F20,7)="Cat III",5%,10%),IF(LEFT(F20,6)="Cat IV",100%,"")))</f>
        <v/>
      </c>
      <c r="H20" s="21" t="str">
        <f aca="false">IF(LEFT(F20,5)="Cat I",40%,IF(LEFT(F20,6)="Cat II",IF(LEFT(F20,7)="Cat III",5%,10%),IF(LEFT(F20,6)="Cat IV",100%,"")))</f>
        <v/>
      </c>
      <c r="I20" s="21" t="str">
        <f aca="false">IF(LEFT(F20,5)="Cat I",50%,IF(LEFT(F20,6)="Cat II",IF(LEFT(F20,7)="Cat III",10%,20%),IF(LEFT(F20,6)="Cat IV",100%,"")))</f>
        <v/>
      </c>
      <c r="J20" s="17"/>
    </row>
    <row r="21" customFormat="false" ht="24" hidden="false" customHeight="true" outlineLevel="0" collapsed="false">
      <c r="A21" s="22"/>
      <c r="B21" s="22"/>
      <c r="C21" s="18"/>
      <c r="D21" s="19"/>
      <c r="E21" s="19"/>
      <c r="F21" s="20"/>
      <c r="G21" s="21" t="str">
        <f aca="false">IF(LEFT(F21,5)="Cat I",30%,IF(LEFT(F21,6)="Cat II",IF(LEFT(F21,7)="Cat III",5%,10%),IF(LEFT(F21,6)="Cat IV",100%,"")))</f>
        <v/>
      </c>
      <c r="H21" s="21" t="str">
        <f aca="false">IF(LEFT(F21,5)="Cat I",40%,IF(LEFT(F21,6)="Cat II",IF(LEFT(F21,7)="Cat III",5%,10%),IF(LEFT(F21,6)="Cat IV",100%,"")))</f>
        <v/>
      </c>
      <c r="I21" s="21" t="str">
        <f aca="false">IF(LEFT(F21,5)="Cat I",50%,IF(LEFT(F21,6)="Cat II",IF(LEFT(F21,7)="Cat III",10%,20%),IF(LEFT(F21,6)="Cat IV",100%,"")))</f>
        <v/>
      </c>
      <c r="J21" s="17"/>
    </row>
    <row r="22" customFormat="false" ht="24" hidden="false" customHeight="true" outlineLevel="0" collapsed="false">
      <c r="A22" s="22"/>
      <c r="B22" s="22"/>
      <c r="C22" s="18"/>
      <c r="D22" s="19"/>
      <c r="E22" s="19"/>
      <c r="F22" s="20"/>
      <c r="G22" s="21" t="str">
        <f aca="false">IF(LEFT(F22,5)="Cat I",30%,IF(LEFT(F22,6)="Cat II",IF(LEFT(F22,7)="Cat III",5%,10%),IF(LEFT(F22,6)="Cat IV",100%,"")))</f>
        <v/>
      </c>
      <c r="H22" s="21" t="str">
        <f aca="false">IF(LEFT(F22,5)="Cat I",40%,IF(LEFT(F22,6)="Cat II",IF(LEFT(F22,7)="Cat III",5%,10%),IF(LEFT(F22,6)="Cat IV",100%,"")))</f>
        <v/>
      </c>
      <c r="I22" s="21" t="str">
        <f aca="false">IF(LEFT(F22,5)="Cat I",50%,IF(LEFT(F22,6)="Cat II",IF(LEFT(F22,7)="Cat III",10%,20%),IF(LEFT(F22,6)="Cat IV",100%,"")))</f>
        <v/>
      </c>
      <c r="J22" s="17"/>
    </row>
    <row r="23" customFormat="false" ht="24" hidden="false" customHeight="true" outlineLevel="0" collapsed="false">
      <c r="A23" s="22"/>
      <c r="B23" s="22"/>
      <c r="C23" s="18"/>
      <c r="D23" s="19"/>
      <c r="E23" s="19"/>
      <c r="F23" s="20"/>
      <c r="G23" s="21" t="str">
        <f aca="false">IF(LEFT(F23,5)="Cat I",30%,IF(LEFT(F23,6)="Cat II",IF(LEFT(F23,7)="Cat III",5%,10%),IF(LEFT(F23,6)="Cat IV",100%,"")))</f>
        <v/>
      </c>
      <c r="H23" s="21" t="str">
        <f aca="false">IF(LEFT(F23,5)="Cat I",40%,IF(LEFT(F23,6)="Cat II",IF(LEFT(F23,7)="Cat III",5%,10%),IF(LEFT(F23,6)="Cat IV",100%,"")))</f>
        <v/>
      </c>
      <c r="I23" s="21" t="str">
        <f aca="false">IF(LEFT(F23,5)="Cat I",50%,IF(LEFT(F23,6)="Cat II",IF(LEFT(F23,7)="Cat III",10%,20%),IF(LEFT(F23,6)="Cat IV",100%,"")))</f>
        <v/>
      </c>
      <c r="J23" s="17"/>
    </row>
    <row r="26" customFormat="false" ht="21.75" hidden="false" customHeight="true" outlineLevel="0" collapsed="false">
      <c r="A26" s="23" t="s">
        <v>63</v>
      </c>
      <c r="B26" s="23"/>
      <c r="C26" s="23"/>
      <c r="D26" s="23"/>
      <c r="E26" s="23"/>
      <c r="F26" s="23"/>
      <c r="G26" s="23"/>
      <c r="H26" s="23"/>
      <c r="I26" s="23"/>
      <c r="J26" s="23"/>
    </row>
    <row r="27" customFormat="false" ht="27.75" hidden="false" customHeight="true" outlineLevel="0" collapsed="false">
      <c r="A27" s="16" t="s">
        <v>64</v>
      </c>
      <c r="B27" s="16" t="s">
        <v>65</v>
      </c>
      <c r="C27" s="16" t="s">
        <v>66</v>
      </c>
      <c r="D27" s="16" t="s">
        <v>67</v>
      </c>
      <c r="E27" s="16" t="s">
        <v>68</v>
      </c>
      <c r="F27" s="16" t="s">
        <v>69</v>
      </c>
    </row>
    <row r="28" customFormat="false" ht="25.5" hidden="false" customHeight="true" outlineLevel="0" collapsed="false">
      <c r="A28" s="24" t="s">
        <v>70</v>
      </c>
      <c r="B28" s="25" t="s">
        <v>71</v>
      </c>
      <c r="C28" s="26" t="s">
        <v>72</v>
      </c>
      <c r="D28" s="26" t="s">
        <v>73</v>
      </c>
      <c r="E28" s="26" t="s">
        <v>74</v>
      </c>
      <c r="F28" s="27" t="s">
        <v>75</v>
      </c>
    </row>
    <row r="29" customFormat="false" ht="25.5" hidden="false" customHeight="true" outlineLevel="0" collapsed="false">
      <c r="A29" s="28" t="s">
        <v>76</v>
      </c>
      <c r="B29" s="29" t="s">
        <v>77</v>
      </c>
      <c r="C29" s="30" t="s">
        <v>78</v>
      </c>
      <c r="D29" s="30" t="s">
        <v>78</v>
      </c>
      <c r="E29" s="30" t="s">
        <v>79</v>
      </c>
      <c r="F29" s="31" t="s">
        <v>80</v>
      </c>
    </row>
    <row r="30" customFormat="false" ht="25.5" hidden="false" customHeight="true" outlineLevel="0" collapsed="false">
      <c r="A30" s="32" t="s">
        <v>81</v>
      </c>
      <c r="B30" s="33" t="s">
        <v>82</v>
      </c>
      <c r="C30" s="34" t="s">
        <v>83</v>
      </c>
      <c r="D30" s="34" t="s">
        <v>83</v>
      </c>
      <c r="E30" s="34" t="s">
        <v>78</v>
      </c>
      <c r="F30" s="35" t="s">
        <v>84</v>
      </c>
    </row>
    <row r="31" customFormat="false" ht="25.5" hidden="false" customHeight="true" outlineLevel="0" collapsed="false">
      <c r="A31" s="36" t="s">
        <v>85</v>
      </c>
      <c r="B31" s="37" t="s">
        <v>86</v>
      </c>
      <c r="C31" s="38" t="s">
        <v>87</v>
      </c>
      <c r="D31" s="38" t="s">
        <v>87</v>
      </c>
      <c r="E31" s="38" t="s">
        <v>87</v>
      </c>
      <c r="F31" s="39" t="s">
        <v>88</v>
      </c>
    </row>
    <row r="34" customFormat="false" ht="3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9.5" hidden="false" customHeight="true" outlineLevel="0" collapsed="false">
      <c r="A35" s="12" t="s">
        <v>22</v>
      </c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21.75" hidden="false" customHeight="true" outlineLevel="0" collapsed="false">
      <c r="A36" s="13" t="s">
        <v>23</v>
      </c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10">
    <mergeCell ref="A1:B3"/>
    <mergeCell ref="C1:J1"/>
    <mergeCell ref="C2:J2"/>
    <mergeCell ref="C3:J3"/>
    <mergeCell ref="A5:J5"/>
    <mergeCell ref="A6:J6"/>
    <mergeCell ref="A26:J26"/>
    <mergeCell ref="A34:J34"/>
    <mergeCell ref="A35:J35"/>
    <mergeCell ref="A36:J36"/>
  </mergeCells>
  <dataValidations count="2">
    <dataValidation allowBlank="true" error="Select a valid EPR category" errorStyle="stop" operator="between" showDropDown="false" showErrorMessage="false" showInputMessage="false" sqref="F9:F23" type="list">
      <formula1>"Cat I — Rigid,Cat II — Flexible,Cat III — Multi-layered,Cat IV — Compostable"</formula1>
      <formula2>0</formula2>
    </dataValidation>
    <dataValidation allowBlank="true" errorStyle="stop" operator="between" showDropDown="false" showErrorMessage="false" showInputMessage="false" sqref="E9:E23" type="list">
      <formula1>"PET,HDPE,LDPE,LLDPE,PP,PS,PVC,OTHER"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0" min="2" style="1" width="13"/>
  </cols>
  <sheetData>
    <row r="1" customFormat="false" ht="18" hidden="false" customHeight="true" outlineLevel="0" collapsed="false">
      <c r="A1" s="2"/>
      <c r="B1" s="2"/>
      <c r="C1" s="3" t="s">
        <v>24</v>
      </c>
      <c r="D1" s="3"/>
      <c r="E1" s="3"/>
      <c r="F1" s="3"/>
      <c r="G1" s="3"/>
      <c r="H1" s="3"/>
      <c r="I1" s="3"/>
      <c r="J1" s="3"/>
    </row>
    <row r="2" customFormat="false" ht="27.75" hidden="false" customHeight="true" outlineLevel="0" collapsed="false">
      <c r="A2" s="2"/>
      <c r="B2" s="2"/>
      <c r="C2" s="7" t="s">
        <v>25</v>
      </c>
      <c r="D2" s="7"/>
      <c r="E2" s="7"/>
      <c r="F2" s="7"/>
      <c r="G2" s="7"/>
      <c r="H2" s="7"/>
      <c r="I2" s="7"/>
      <c r="J2" s="7"/>
    </row>
    <row r="3" customFormat="false" ht="19.5" hidden="false" customHeight="true" outlineLevel="0" collapsed="false">
      <c r="A3" s="2"/>
      <c r="B3" s="2"/>
      <c r="C3" s="14" t="s">
        <v>89</v>
      </c>
      <c r="D3" s="14"/>
      <c r="E3" s="14"/>
      <c r="F3" s="14"/>
      <c r="G3" s="14"/>
      <c r="H3" s="14"/>
      <c r="I3" s="14"/>
      <c r="J3" s="14"/>
    </row>
    <row r="4" customFormat="false" ht="6" hidden="false" customHeight="true" outlineLevel="0" collapsed="false"/>
    <row r="5" customFormat="false" ht="25.5" hidden="false" customHeight="true" outlineLevel="0" collapsed="false">
      <c r="A5" s="15" t="s">
        <v>90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19.5" hidden="false" customHeight="true" outlineLevel="0" collapsed="false">
      <c r="A6" s="3" t="s">
        <v>91</v>
      </c>
      <c r="B6" s="3"/>
      <c r="C6" s="3"/>
      <c r="D6" s="3"/>
      <c r="E6" s="3"/>
      <c r="F6" s="3"/>
      <c r="G6" s="3"/>
      <c r="H6" s="3"/>
      <c r="I6" s="3"/>
      <c r="J6" s="3"/>
    </row>
    <row r="7" customFormat="false" ht="15" hidden="false" customHeight="false" outlineLevel="0" collapsed="false">
      <c r="A7" s="40" t="s">
        <v>92</v>
      </c>
      <c r="B7" s="41" t="s">
        <v>93</v>
      </c>
      <c r="C7" s="41"/>
      <c r="D7" s="41"/>
      <c r="E7" s="40" t="s">
        <v>94</v>
      </c>
      <c r="F7" s="41" t="s">
        <v>93</v>
      </c>
      <c r="G7" s="41"/>
      <c r="H7" s="41"/>
      <c r="I7" s="40" t="s">
        <v>95</v>
      </c>
      <c r="J7" s="42" t="s">
        <v>66</v>
      </c>
    </row>
    <row r="9" customFormat="false" ht="37.5" hidden="false" customHeight="true" outlineLevel="0" collapsed="false">
      <c r="A9" s="16" t="s">
        <v>96</v>
      </c>
      <c r="B9" s="16" t="s">
        <v>97</v>
      </c>
      <c r="C9" s="16" t="s">
        <v>98</v>
      </c>
      <c r="D9" s="16" t="s">
        <v>99</v>
      </c>
      <c r="E9" s="16" t="s">
        <v>100</v>
      </c>
      <c r="F9" s="16" t="s">
        <v>101</v>
      </c>
      <c r="G9" s="16" t="s">
        <v>102</v>
      </c>
      <c r="H9" s="16" t="s">
        <v>103</v>
      </c>
      <c r="I9" s="16" t="s">
        <v>104</v>
      </c>
      <c r="J9" s="16" t="s">
        <v>105</v>
      </c>
    </row>
    <row r="10" customFormat="false" ht="21.75" hidden="false" customHeight="true" outlineLevel="0" collapsed="false">
      <c r="A10" s="43" t="s">
        <v>106</v>
      </c>
      <c r="B10" s="44"/>
      <c r="C10" s="44"/>
      <c r="D10" s="44"/>
      <c r="E10" s="44"/>
      <c r="F10" s="45" t="str">
        <f aca="false">IF(SUM(B10:E10)=0,"",SUM(B10:E10))</f>
        <v/>
      </c>
      <c r="G10" s="46" t="str">
        <f aca="false">IF(B10="","",B10*0.3)</f>
        <v/>
      </c>
      <c r="H10" s="46" t="str">
        <f aca="false">IF(C10="","",C10*0.1)</f>
        <v/>
      </c>
      <c r="I10" s="46" t="str">
        <f aca="false">IF(D10="","",D10*0.05)</f>
        <v/>
      </c>
      <c r="J10" s="47" t="str">
        <f aca="false">IF(SUM(G10:I10)=0,"",SUM(G10:I10))</f>
        <v/>
      </c>
    </row>
    <row r="11" customFormat="false" ht="21.75" hidden="false" customHeight="true" outlineLevel="0" collapsed="false">
      <c r="A11" s="43" t="s">
        <v>107</v>
      </c>
      <c r="B11" s="44"/>
      <c r="C11" s="44"/>
      <c r="D11" s="44"/>
      <c r="E11" s="44"/>
      <c r="F11" s="45" t="str">
        <f aca="false">IF(SUM(B11:E11)=0,"",SUM(B11:E11))</f>
        <v/>
      </c>
      <c r="G11" s="46" t="str">
        <f aca="false">IF(B11="","",B11*0.3)</f>
        <v/>
      </c>
      <c r="H11" s="46" t="str">
        <f aca="false">IF(C11="","",C11*0.1)</f>
        <v/>
      </c>
      <c r="I11" s="46" t="str">
        <f aca="false">IF(D11="","",D11*0.05)</f>
        <v/>
      </c>
      <c r="J11" s="47" t="str">
        <f aca="false">IF(SUM(G11:I11)=0,"",SUM(G11:I11))</f>
        <v/>
      </c>
    </row>
    <row r="12" customFormat="false" ht="21.75" hidden="false" customHeight="true" outlineLevel="0" collapsed="false">
      <c r="A12" s="43" t="s">
        <v>108</v>
      </c>
      <c r="B12" s="44"/>
      <c r="C12" s="44"/>
      <c r="D12" s="44"/>
      <c r="E12" s="44"/>
      <c r="F12" s="45" t="str">
        <f aca="false">IF(SUM(B12:E12)=0,"",SUM(B12:E12))</f>
        <v/>
      </c>
      <c r="G12" s="46" t="str">
        <f aca="false">IF(B12="","",B12*0.3)</f>
        <v/>
      </c>
      <c r="H12" s="46" t="str">
        <f aca="false">IF(C12="","",C12*0.1)</f>
        <v/>
      </c>
      <c r="I12" s="46" t="str">
        <f aca="false">IF(D12="","",D12*0.05)</f>
        <v/>
      </c>
      <c r="J12" s="47" t="str">
        <f aca="false">IF(SUM(G12:I12)=0,"",SUM(G12:I12))</f>
        <v/>
      </c>
    </row>
    <row r="13" customFormat="false" ht="21.75" hidden="false" customHeight="true" outlineLevel="0" collapsed="false">
      <c r="A13" s="43" t="s">
        <v>109</v>
      </c>
      <c r="B13" s="44"/>
      <c r="C13" s="44"/>
      <c r="D13" s="44"/>
      <c r="E13" s="44"/>
      <c r="F13" s="45" t="str">
        <f aca="false">IF(SUM(B13:E13)=0,"",SUM(B13:E13))</f>
        <v/>
      </c>
      <c r="G13" s="46" t="str">
        <f aca="false">IF(B13="","",B13*0.3)</f>
        <v/>
      </c>
      <c r="H13" s="46" t="str">
        <f aca="false">IF(C13="","",C13*0.1)</f>
        <v/>
      </c>
      <c r="I13" s="46" t="str">
        <f aca="false">IF(D13="","",D13*0.05)</f>
        <v/>
      </c>
      <c r="J13" s="47" t="str">
        <f aca="false">IF(SUM(G13:I13)=0,"",SUM(G13:I13))</f>
        <v/>
      </c>
    </row>
    <row r="14" customFormat="false" ht="21.75" hidden="false" customHeight="true" outlineLevel="0" collapsed="false">
      <c r="A14" s="43" t="s">
        <v>110</v>
      </c>
      <c r="B14" s="44"/>
      <c r="C14" s="44"/>
      <c r="D14" s="44"/>
      <c r="E14" s="44"/>
      <c r="F14" s="45" t="str">
        <f aca="false">IF(SUM(B14:E14)=0,"",SUM(B14:E14))</f>
        <v/>
      </c>
      <c r="G14" s="46" t="str">
        <f aca="false">IF(B14="","",B14*0.3)</f>
        <v/>
      </c>
      <c r="H14" s="46" t="str">
        <f aca="false">IF(C14="","",C14*0.1)</f>
        <v/>
      </c>
      <c r="I14" s="46" t="str">
        <f aca="false">IF(D14="","",D14*0.05)</f>
        <v/>
      </c>
      <c r="J14" s="47" t="str">
        <f aca="false">IF(SUM(G14:I14)=0,"",SUM(G14:I14))</f>
        <v/>
      </c>
    </row>
    <row r="15" customFormat="false" ht="21.75" hidden="false" customHeight="true" outlineLevel="0" collapsed="false">
      <c r="A15" s="43" t="s">
        <v>111</v>
      </c>
      <c r="B15" s="44"/>
      <c r="C15" s="44"/>
      <c r="D15" s="44"/>
      <c r="E15" s="44"/>
      <c r="F15" s="45" t="str">
        <f aca="false">IF(SUM(B15:E15)=0,"",SUM(B15:E15))</f>
        <v/>
      </c>
      <c r="G15" s="46" t="str">
        <f aca="false">IF(B15="","",B15*0.3)</f>
        <v/>
      </c>
      <c r="H15" s="46" t="str">
        <f aca="false">IF(C15="","",C15*0.1)</f>
        <v/>
      </c>
      <c r="I15" s="46" t="str">
        <f aca="false">IF(D15="","",D15*0.05)</f>
        <v/>
      </c>
      <c r="J15" s="47" t="str">
        <f aca="false">IF(SUM(G15:I15)=0,"",SUM(G15:I15))</f>
        <v/>
      </c>
    </row>
    <row r="16" customFormat="false" ht="21.75" hidden="false" customHeight="true" outlineLevel="0" collapsed="false">
      <c r="A16" s="43" t="s">
        <v>112</v>
      </c>
      <c r="B16" s="44"/>
      <c r="C16" s="44"/>
      <c r="D16" s="44"/>
      <c r="E16" s="44"/>
      <c r="F16" s="45" t="str">
        <f aca="false">IF(SUM(B16:E16)=0,"",SUM(B16:E16))</f>
        <v/>
      </c>
      <c r="G16" s="46" t="str">
        <f aca="false">IF(B16="","",B16*0.3)</f>
        <v/>
      </c>
      <c r="H16" s="46" t="str">
        <f aca="false">IF(C16="","",C16*0.1)</f>
        <v/>
      </c>
      <c r="I16" s="46" t="str">
        <f aca="false">IF(D16="","",D16*0.05)</f>
        <v/>
      </c>
      <c r="J16" s="47" t="str">
        <f aca="false">IF(SUM(G16:I16)=0,"",SUM(G16:I16))</f>
        <v/>
      </c>
    </row>
    <row r="17" customFormat="false" ht="21.75" hidden="false" customHeight="true" outlineLevel="0" collapsed="false">
      <c r="A17" s="43" t="s">
        <v>113</v>
      </c>
      <c r="B17" s="44"/>
      <c r="C17" s="44"/>
      <c r="D17" s="44"/>
      <c r="E17" s="44"/>
      <c r="F17" s="45" t="str">
        <f aca="false">IF(SUM(B17:E17)=0,"",SUM(B17:E17))</f>
        <v/>
      </c>
      <c r="G17" s="46" t="str">
        <f aca="false">IF(B17="","",B17*0.3)</f>
        <v/>
      </c>
      <c r="H17" s="46" t="str">
        <f aca="false">IF(C17="","",C17*0.1)</f>
        <v/>
      </c>
      <c r="I17" s="46" t="str">
        <f aca="false">IF(D17="","",D17*0.05)</f>
        <v/>
      </c>
      <c r="J17" s="47" t="str">
        <f aca="false">IF(SUM(G17:I17)=0,"",SUM(G17:I17))</f>
        <v/>
      </c>
    </row>
    <row r="18" customFormat="false" ht="21.75" hidden="false" customHeight="true" outlineLevel="0" collapsed="false">
      <c r="A18" s="43" t="s">
        <v>114</v>
      </c>
      <c r="B18" s="44"/>
      <c r="C18" s="44"/>
      <c r="D18" s="44"/>
      <c r="E18" s="44"/>
      <c r="F18" s="45" t="str">
        <f aca="false">IF(SUM(B18:E18)=0,"",SUM(B18:E18))</f>
        <v/>
      </c>
      <c r="G18" s="46" t="str">
        <f aca="false">IF(B18="","",B18*0.3)</f>
        <v/>
      </c>
      <c r="H18" s="46" t="str">
        <f aca="false">IF(C18="","",C18*0.1)</f>
        <v/>
      </c>
      <c r="I18" s="46" t="str">
        <f aca="false">IF(D18="","",D18*0.05)</f>
        <v/>
      </c>
      <c r="J18" s="47" t="str">
        <f aca="false">IF(SUM(G18:I18)=0,"",SUM(G18:I18))</f>
        <v/>
      </c>
    </row>
    <row r="19" customFormat="false" ht="21.75" hidden="false" customHeight="true" outlineLevel="0" collapsed="false">
      <c r="A19" s="43" t="s">
        <v>115</v>
      </c>
      <c r="B19" s="44"/>
      <c r="C19" s="44"/>
      <c r="D19" s="44"/>
      <c r="E19" s="44"/>
      <c r="F19" s="45" t="str">
        <f aca="false">IF(SUM(B19:E19)=0,"",SUM(B19:E19))</f>
        <v/>
      </c>
      <c r="G19" s="46" t="str">
        <f aca="false">IF(B19="","",B19*0.3)</f>
        <v/>
      </c>
      <c r="H19" s="46" t="str">
        <f aca="false">IF(C19="","",C19*0.1)</f>
        <v/>
      </c>
      <c r="I19" s="46" t="str">
        <f aca="false">IF(D19="","",D19*0.05)</f>
        <v/>
      </c>
      <c r="J19" s="47" t="str">
        <f aca="false">IF(SUM(G19:I19)=0,"",SUM(G19:I19))</f>
        <v/>
      </c>
    </row>
    <row r="20" customFormat="false" ht="21.75" hidden="false" customHeight="true" outlineLevel="0" collapsed="false">
      <c r="A20" s="43" t="s">
        <v>116</v>
      </c>
      <c r="B20" s="44"/>
      <c r="C20" s="44"/>
      <c r="D20" s="44"/>
      <c r="E20" s="44"/>
      <c r="F20" s="45" t="str">
        <f aca="false">IF(SUM(B20:E20)=0,"",SUM(B20:E20))</f>
        <v/>
      </c>
      <c r="G20" s="46" t="str">
        <f aca="false">IF(B20="","",B20*0.3)</f>
        <v/>
      </c>
      <c r="H20" s="46" t="str">
        <f aca="false">IF(C20="","",C20*0.1)</f>
        <v/>
      </c>
      <c r="I20" s="46" t="str">
        <f aca="false">IF(D20="","",D20*0.05)</f>
        <v/>
      </c>
      <c r="J20" s="47" t="str">
        <f aca="false">IF(SUM(G20:I20)=0,"",SUM(G20:I20))</f>
        <v/>
      </c>
    </row>
    <row r="21" customFormat="false" ht="21.75" hidden="false" customHeight="true" outlineLevel="0" collapsed="false">
      <c r="A21" s="43" t="s">
        <v>117</v>
      </c>
      <c r="B21" s="44"/>
      <c r="C21" s="44"/>
      <c r="D21" s="44"/>
      <c r="E21" s="44"/>
      <c r="F21" s="45" t="str">
        <f aca="false">IF(SUM(B21:E21)=0,"",SUM(B21:E21))</f>
        <v/>
      </c>
      <c r="G21" s="46" t="str">
        <f aca="false">IF(B21="","",B21*0.3)</f>
        <v/>
      </c>
      <c r="H21" s="46" t="str">
        <f aca="false">IF(C21="","",C21*0.1)</f>
        <v/>
      </c>
      <c r="I21" s="46" t="str">
        <f aca="false">IF(D21="","",D21*0.05)</f>
        <v/>
      </c>
      <c r="J21" s="47" t="str">
        <f aca="false">IF(SUM(G21:I21)=0,"",SUM(G21:I21))</f>
        <v/>
      </c>
    </row>
    <row r="22" customFormat="false" ht="27.75" hidden="false" customHeight="true" outlineLevel="0" collapsed="false">
      <c r="A22" s="48" t="s">
        <v>118</v>
      </c>
      <c r="B22" s="49" t="str">
        <f aca="false">IF(SUM(B10:B21)=0,"",SUM(B10:B21))</f>
        <v/>
      </c>
      <c r="C22" s="49" t="str">
        <f aca="false">IF(SUM(C10:C21)=0,"",SUM(C10:C21))</f>
        <v/>
      </c>
      <c r="D22" s="49" t="str">
        <f aca="false">IF(SUM(D10:D21)=0,"",SUM(D10:D21))</f>
        <v/>
      </c>
      <c r="E22" s="49" t="str">
        <f aca="false">IF(SUM(E10:E21)=0,"",SUM(E10:E21))</f>
        <v/>
      </c>
      <c r="F22" s="49" t="str">
        <f aca="false">IF(SUM(F10:F21)=0,"",SUM(F10:F21))</f>
        <v/>
      </c>
      <c r="G22" s="49" t="str">
        <f aca="false">IF(SUM(G10:G21)=0,"",SUM(G10:G21))</f>
        <v/>
      </c>
      <c r="H22" s="49" t="str">
        <f aca="false">IF(SUM(H10:H21)=0,"",SUM(H10:H21))</f>
        <v/>
      </c>
      <c r="I22" s="49" t="str">
        <f aca="false">IF(SUM(I10:I21)=0,"",SUM(I10:I21))</f>
        <v/>
      </c>
      <c r="J22" s="49" t="str">
        <f aca="false">IF(SUM(J10:J21)=0,"",SUM(J10:J21))</f>
        <v/>
      </c>
    </row>
    <row r="24" customFormat="false" ht="49.5" hidden="false" customHeight="true" outlineLevel="0" collapsed="false">
      <c r="A24" s="50" t="s">
        <v>119</v>
      </c>
      <c r="B24" s="50"/>
      <c r="C24" s="50"/>
      <c r="D24" s="50"/>
      <c r="E24" s="50"/>
      <c r="F24" s="50"/>
      <c r="G24" s="50"/>
      <c r="H24" s="50"/>
      <c r="I24" s="50"/>
      <c r="J24" s="50"/>
    </row>
    <row r="26" customFormat="false" ht="3.7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9.5" hidden="false" customHeight="true" outlineLevel="0" collapsed="false">
      <c r="A27" s="12" t="s">
        <v>22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21.75" hidden="false" customHeight="true" outlineLevel="0" collapsed="false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</row>
  </sheetData>
  <mergeCells count="12">
    <mergeCell ref="A1:B3"/>
    <mergeCell ref="C1:J1"/>
    <mergeCell ref="C2:J2"/>
    <mergeCell ref="C3:J3"/>
    <mergeCell ref="A5:J5"/>
    <mergeCell ref="A6:J6"/>
    <mergeCell ref="B7:D7"/>
    <mergeCell ref="F7:H7"/>
    <mergeCell ref="A24:J24"/>
    <mergeCell ref="A26:J26"/>
    <mergeCell ref="A27:J27"/>
    <mergeCell ref="A28:J28"/>
  </mergeCells>
  <printOptions headings="false" gridLines="false" gridLinesSet="true" horizontalCentered="fals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7" min="5" style="1" width="11"/>
    <col collapsed="false" customWidth="true" hidden="false" outlineLevel="0" max="8" min="8" style="1" width="14"/>
    <col collapsed="false" customWidth="true" hidden="false" outlineLevel="0" max="9" min="9" style="1" width="12"/>
  </cols>
  <sheetData>
    <row r="1" customFormat="false" ht="18" hidden="false" customHeight="true" outlineLevel="0" collapsed="false">
      <c r="A1" s="2"/>
      <c r="B1" s="2"/>
      <c r="C1" s="3" t="s">
        <v>24</v>
      </c>
      <c r="D1" s="3"/>
      <c r="E1" s="3"/>
      <c r="F1" s="3"/>
      <c r="G1" s="3"/>
      <c r="H1" s="3"/>
      <c r="I1" s="3"/>
    </row>
    <row r="2" customFormat="false" ht="27.75" hidden="false" customHeight="true" outlineLevel="0" collapsed="false">
      <c r="A2" s="2"/>
      <c r="B2" s="2"/>
      <c r="C2" s="7" t="s">
        <v>25</v>
      </c>
      <c r="D2" s="7"/>
      <c r="E2" s="7"/>
      <c r="F2" s="7"/>
      <c r="G2" s="7"/>
      <c r="H2" s="7"/>
      <c r="I2" s="7"/>
    </row>
    <row r="3" customFormat="false" ht="19.5" hidden="false" customHeight="true" outlineLevel="0" collapsed="false">
      <c r="A3" s="2"/>
      <c r="B3" s="2"/>
      <c r="C3" s="14" t="s">
        <v>120</v>
      </c>
      <c r="D3" s="14"/>
      <c r="E3" s="14"/>
      <c r="F3" s="14"/>
      <c r="G3" s="14"/>
      <c r="H3" s="14"/>
      <c r="I3" s="14"/>
    </row>
    <row r="4" customFormat="false" ht="6" hidden="false" customHeight="true" outlineLevel="0" collapsed="false"/>
    <row r="5" customFormat="false" ht="25.5" hidden="false" customHeight="true" outlineLevel="0" collapsed="false">
      <c r="A5" s="15" t="s">
        <v>121</v>
      </c>
      <c r="B5" s="15"/>
      <c r="C5" s="15"/>
      <c r="D5" s="15"/>
      <c r="E5" s="15"/>
      <c r="F5" s="15"/>
      <c r="G5" s="15"/>
      <c r="H5" s="15"/>
      <c r="I5" s="15"/>
    </row>
    <row r="6" customFormat="false" ht="19.5" hidden="false" customHeight="true" outlineLevel="0" collapsed="false">
      <c r="A6" s="3" t="s">
        <v>122</v>
      </c>
      <c r="B6" s="3"/>
      <c r="C6" s="3"/>
      <c r="D6" s="3"/>
      <c r="E6" s="3"/>
      <c r="F6" s="3"/>
      <c r="G6" s="3"/>
      <c r="H6" s="3"/>
      <c r="I6" s="3"/>
    </row>
    <row r="8" customFormat="false" ht="37.5" hidden="false" customHeight="true" outlineLevel="0" collapsed="false">
      <c r="A8" s="16" t="s">
        <v>123</v>
      </c>
      <c r="B8" s="16" t="s">
        <v>124</v>
      </c>
      <c r="C8" s="16" t="s">
        <v>125</v>
      </c>
      <c r="D8" s="16" t="s">
        <v>126</v>
      </c>
      <c r="E8" s="16" t="s">
        <v>127</v>
      </c>
      <c r="F8" s="16" t="s">
        <v>128</v>
      </c>
      <c r="G8" s="16" t="s">
        <v>129</v>
      </c>
      <c r="H8" s="16" t="s">
        <v>130</v>
      </c>
      <c r="I8" s="16" t="s">
        <v>131</v>
      </c>
    </row>
    <row r="9" customFormat="false" ht="21.75" hidden="false" customHeight="true" outlineLevel="0" collapsed="false">
      <c r="A9" s="51"/>
      <c r="B9" s="52"/>
      <c r="C9" s="51"/>
      <c r="D9" s="52"/>
      <c r="E9" s="51"/>
      <c r="F9" s="51"/>
      <c r="G9" s="51"/>
      <c r="H9" s="53" t="str">
        <f aca="false">IF(OR(F9="",G9=""),"",F9*G9)</f>
        <v/>
      </c>
      <c r="I9" s="51"/>
    </row>
    <row r="10" customFormat="false" ht="21.75" hidden="false" customHeight="true" outlineLevel="0" collapsed="false">
      <c r="A10" s="51"/>
      <c r="B10" s="52"/>
      <c r="C10" s="51"/>
      <c r="D10" s="52"/>
      <c r="E10" s="51"/>
      <c r="F10" s="51"/>
      <c r="G10" s="51"/>
      <c r="H10" s="53" t="str">
        <f aca="false">IF(OR(F10="",G10=""),"",F10*G10)</f>
        <v/>
      </c>
      <c r="I10" s="51"/>
    </row>
    <row r="11" customFormat="false" ht="21.75" hidden="false" customHeight="true" outlineLevel="0" collapsed="false">
      <c r="A11" s="51"/>
      <c r="B11" s="52"/>
      <c r="C11" s="51"/>
      <c r="D11" s="52"/>
      <c r="E11" s="51"/>
      <c r="F11" s="51"/>
      <c r="G11" s="51"/>
      <c r="H11" s="53" t="str">
        <f aca="false">IF(OR(F11="",G11=""),"",F11*G11)</f>
        <v/>
      </c>
      <c r="I11" s="51"/>
    </row>
    <row r="12" customFormat="false" ht="21.75" hidden="false" customHeight="true" outlineLevel="0" collapsed="false">
      <c r="A12" s="51"/>
      <c r="B12" s="52"/>
      <c r="C12" s="51"/>
      <c r="D12" s="52"/>
      <c r="E12" s="51"/>
      <c r="F12" s="51"/>
      <c r="G12" s="51"/>
      <c r="H12" s="53" t="str">
        <f aca="false">IF(OR(F12="",G12=""),"",F12*G12)</f>
        <v/>
      </c>
      <c r="I12" s="51"/>
    </row>
    <row r="13" customFormat="false" ht="21.75" hidden="false" customHeight="true" outlineLevel="0" collapsed="false">
      <c r="A13" s="51"/>
      <c r="B13" s="52"/>
      <c r="C13" s="51"/>
      <c r="D13" s="52"/>
      <c r="E13" s="51"/>
      <c r="F13" s="51"/>
      <c r="G13" s="51"/>
      <c r="H13" s="53" t="str">
        <f aca="false">IF(OR(F13="",G13=""),"",F13*G13)</f>
        <v/>
      </c>
      <c r="I13" s="51"/>
    </row>
    <row r="14" customFormat="false" ht="21.75" hidden="false" customHeight="true" outlineLevel="0" collapsed="false">
      <c r="A14" s="51"/>
      <c r="B14" s="52"/>
      <c r="C14" s="51"/>
      <c r="D14" s="52"/>
      <c r="E14" s="51"/>
      <c r="F14" s="51"/>
      <c r="G14" s="51"/>
      <c r="H14" s="53" t="str">
        <f aca="false">IF(OR(F14="",G14=""),"",F14*G14)</f>
        <v/>
      </c>
      <c r="I14" s="51"/>
    </row>
    <row r="15" customFormat="false" ht="21.75" hidden="false" customHeight="true" outlineLevel="0" collapsed="false">
      <c r="A15" s="51"/>
      <c r="B15" s="52"/>
      <c r="C15" s="51"/>
      <c r="D15" s="52"/>
      <c r="E15" s="51"/>
      <c r="F15" s="51"/>
      <c r="G15" s="51"/>
      <c r="H15" s="53" t="str">
        <f aca="false">IF(OR(F15="",G15=""),"",F15*G15)</f>
        <v/>
      </c>
      <c r="I15" s="51"/>
    </row>
    <row r="16" customFormat="false" ht="21.75" hidden="false" customHeight="true" outlineLevel="0" collapsed="false">
      <c r="A16" s="51"/>
      <c r="B16" s="52"/>
      <c r="C16" s="51"/>
      <c r="D16" s="52"/>
      <c r="E16" s="51"/>
      <c r="F16" s="51"/>
      <c r="G16" s="51"/>
      <c r="H16" s="53" t="str">
        <f aca="false">IF(OR(F16="",G16=""),"",F16*G16)</f>
        <v/>
      </c>
      <c r="I16" s="51"/>
    </row>
    <row r="17" customFormat="false" ht="21.75" hidden="false" customHeight="true" outlineLevel="0" collapsed="false">
      <c r="A17" s="51"/>
      <c r="B17" s="52"/>
      <c r="C17" s="51"/>
      <c r="D17" s="52"/>
      <c r="E17" s="51"/>
      <c r="F17" s="51"/>
      <c r="G17" s="51"/>
      <c r="H17" s="53" t="str">
        <f aca="false">IF(OR(F17="",G17=""),"",F17*G17)</f>
        <v/>
      </c>
      <c r="I17" s="51"/>
    </row>
    <row r="18" customFormat="false" ht="21.75" hidden="false" customHeight="true" outlineLevel="0" collapsed="false">
      <c r="A18" s="51"/>
      <c r="B18" s="52"/>
      <c r="C18" s="51"/>
      <c r="D18" s="52"/>
      <c r="E18" s="51"/>
      <c r="F18" s="51"/>
      <c r="G18" s="51"/>
      <c r="H18" s="53" t="str">
        <f aca="false">IF(OR(F18="",G18=""),"",F18*G18)</f>
        <v/>
      </c>
      <c r="I18" s="51"/>
    </row>
    <row r="19" customFormat="false" ht="21.75" hidden="false" customHeight="true" outlineLevel="0" collapsed="false">
      <c r="A19" s="51"/>
      <c r="B19" s="52"/>
      <c r="C19" s="51"/>
      <c r="D19" s="52"/>
      <c r="E19" s="51"/>
      <c r="F19" s="51"/>
      <c r="G19" s="51"/>
      <c r="H19" s="53" t="str">
        <f aca="false">IF(OR(F19="",G19=""),"",F19*G19)</f>
        <v/>
      </c>
      <c r="I19" s="51"/>
    </row>
    <row r="20" customFormat="false" ht="21.75" hidden="false" customHeight="true" outlineLevel="0" collapsed="false">
      <c r="A20" s="51"/>
      <c r="B20" s="52"/>
      <c r="C20" s="51"/>
      <c r="D20" s="52"/>
      <c r="E20" s="51"/>
      <c r="F20" s="51"/>
      <c r="G20" s="51"/>
      <c r="H20" s="53" t="str">
        <f aca="false">IF(OR(F20="",G20=""),"",F20*G20)</f>
        <v/>
      </c>
      <c r="I20" s="51"/>
    </row>
    <row r="21" customFormat="false" ht="21.75" hidden="false" customHeight="true" outlineLevel="0" collapsed="false">
      <c r="A21" s="51"/>
      <c r="B21" s="52"/>
      <c r="C21" s="51"/>
      <c r="D21" s="52"/>
      <c r="E21" s="51"/>
      <c r="F21" s="51"/>
      <c r="G21" s="51"/>
      <c r="H21" s="53" t="str">
        <f aca="false">IF(OR(F21="",G21=""),"",F21*G21)</f>
        <v/>
      </c>
      <c r="I21" s="51"/>
    </row>
    <row r="22" customFormat="false" ht="21.75" hidden="false" customHeight="true" outlineLevel="0" collapsed="false">
      <c r="A22" s="51"/>
      <c r="B22" s="52"/>
      <c r="C22" s="51"/>
      <c r="D22" s="52"/>
      <c r="E22" s="51"/>
      <c r="F22" s="51"/>
      <c r="G22" s="51"/>
      <c r="H22" s="53" t="str">
        <f aca="false">IF(OR(F22="",G22=""),"",F22*G22)</f>
        <v/>
      </c>
      <c r="I22" s="51"/>
    </row>
    <row r="23" customFormat="false" ht="21.75" hidden="false" customHeight="true" outlineLevel="0" collapsed="false">
      <c r="A23" s="51"/>
      <c r="B23" s="52"/>
      <c r="C23" s="51"/>
      <c r="D23" s="52"/>
      <c r="E23" s="51"/>
      <c r="F23" s="51"/>
      <c r="G23" s="51"/>
      <c r="H23" s="53" t="str">
        <f aca="false">IF(OR(F23="",G23=""),"",F23*G23)</f>
        <v/>
      </c>
      <c r="I23" s="51"/>
    </row>
    <row r="24" customFormat="false" ht="21.75" hidden="false" customHeight="true" outlineLevel="0" collapsed="false">
      <c r="A24" s="51"/>
      <c r="B24" s="52"/>
      <c r="C24" s="51"/>
      <c r="D24" s="52"/>
      <c r="E24" s="51"/>
      <c r="F24" s="51"/>
      <c r="G24" s="51"/>
      <c r="H24" s="53" t="str">
        <f aca="false">IF(OR(F24="",G24=""),"",F24*G24)</f>
        <v/>
      </c>
      <c r="I24" s="51"/>
    </row>
    <row r="25" customFormat="false" ht="21.75" hidden="false" customHeight="true" outlineLevel="0" collapsed="false">
      <c r="A25" s="51"/>
      <c r="B25" s="52"/>
      <c r="C25" s="51"/>
      <c r="D25" s="52"/>
      <c r="E25" s="51"/>
      <c r="F25" s="51"/>
      <c r="G25" s="51"/>
      <c r="H25" s="53" t="str">
        <f aca="false">IF(OR(F25="",G25=""),"",F25*G25)</f>
        <v/>
      </c>
      <c r="I25" s="51"/>
    </row>
    <row r="26" customFormat="false" ht="21.75" hidden="false" customHeight="true" outlineLevel="0" collapsed="false">
      <c r="A26" s="51"/>
      <c r="B26" s="52"/>
      <c r="C26" s="51"/>
      <c r="D26" s="52"/>
      <c r="E26" s="51"/>
      <c r="F26" s="51"/>
      <c r="G26" s="51"/>
      <c r="H26" s="53" t="str">
        <f aca="false">IF(OR(F26="",G26=""),"",F26*G26)</f>
        <v/>
      </c>
      <c r="I26" s="51"/>
    </row>
    <row r="27" customFormat="false" ht="21.75" hidden="false" customHeight="true" outlineLevel="0" collapsed="false">
      <c r="A27" s="51"/>
      <c r="B27" s="52"/>
      <c r="C27" s="51"/>
      <c r="D27" s="52"/>
      <c r="E27" s="51"/>
      <c r="F27" s="51"/>
      <c r="G27" s="51"/>
      <c r="H27" s="53" t="str">
        <f aca="false">IF(OR(F27="",G27=""),"",F27*G27)</f>
        <v/>
      </c>
      <c r="I27" s="51"/>
    </row>
    <row r="28" customFormat="false" ht="21.75" hidden="false" customHeight="true" outlineLevel="0" collapsed="false">
      <c r="A28" s="51"/>
      <c r="B28" s="52"/>
      <c r="C28" s="51"/>
      <c r="D28" s="52"/>
      <c r="E28" s="51"/>
      <c r="F28" s="51"/>
      <c r="G28" s="51"/>
      <c r="H28" s="53" t="str">
        <f aca="false">IF(OR(F28="",G28=""),"",F28*G28)</f>
        <v/>
      </c>
      <c r="I28" s="51"/>
    </row>
    <row r="30" customFormat="false" ht="27.75" hidden="false" customHeight="true" outlineLevel="0" collapsed="false">
      <c r="A30" s="54" t="s">
        <v>132</v>
      </c>
      <c r="B30" s="54"/>
      <c r="C30" s="54"/>
      <c r="D30" s="54"/>
      <c r="E30" s="54"/>
      <c r="F30" s="55" t="str">
        <f aca="false">IF(SUM(F9:F28)=0,"",SUM(F9:F28))</f>
        <v/>
      </c>
      <c r="G30" s="56" t="str">
        <f aca="false">IF(SUM(F9:F28)=0,"",SUM(H9:H28)/SUM(F9:F28))</f>
        <v/>
      </c>
      <c r="H30" s="57" t="str">
        <f aca="false">IF(SUM(H9:H28)=0,"",SUM(H9:H28))</f>
        <v/>
      </c>
      <c r="I30" s="58"/>
    </row>
    <row r="32" customFormat="false" ht="49.5" hidden="false" customHeight="true" outlineLevel="0" collapsed="false">
      <c r="A32" s="50" t="s">
        <v>133</v>
      </c>
      <c r="B32" s="50"/>
      <c r="C32" s="50"/>
      <c r="D32" s="50"/>
      <c r="E32" s="50"/>
      <c r="F32" s="50"/>
      <c r="G32" s="50"/>
      <c r="H32" s="50"/>
      <c r="I32" s="50"/>
    </row>
    <row r="34" customFormat="false" ht="3.7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9.5" hidden="false" customHeight="true" outlineLevel="0" collapsed="false">
      <c r="A35" s="12" t="s">
        <v>22</v>
      </c>
      <c r="B35" s="12"/>
      <c r="C35" s="12"/>
      <c r="D35" s="12"/>
      <c r="E35" s="12"/>
      <c r="F35" s="12"/>
      <c r="G35" s="12"/>
      <c r="H35" s="12"/>
      <c r="I35" s="12"/>
    </row>
    <row r="36" customFormat="false" ht="21.75" hidden="false" customHeight="true" outlineLevel="0" collapsed="false">
      <c r="A36" s="13" t="s">
        <v>23</v>
      </c>
      <c r="B36" s="13"/>
      <c r="C36" s="13"/>
      <c r="D36" s="13"/>
      <c r="E36" s="13"/>
      <c r="F36" s="13"/>
      <c r="G36" s="13"/>
      <c r="H36" s="13"/>
      <c r="I36" s="13"/>
    </row>
  </sheetData>
  <mergeCells count="11">
    <mergeCell ref="A1:B3"/>
    <mergeCell ref="C1:I1"/>
    <mergeCell ref="C2:I2"/>
    <mergeCell ref="C3:I3"/>
    <mergeCell ref="A5:I5"/>
    <mergeCell ref="A6:I6"/>
    <mergeCell ref="A30:E30"/>
    <mergeCell ref="A32:I32"/>
    <mergeCell ref="A34:I34"/>
    <mergeCell ref="A35:I35"/>
    <mergeCell ref="A36:I36"/>
  </mergeCells>
  <dataValidations count="2">
    <dataValidation allowBlank="true" errorStyle="stop" operator="between" showDropDown="false" showErrorMessage="false" showInputMessage="false" sqref="I9:I28" type="list">
      <formula1>"Pending,Verified,Filed,Disputed"</formula1>
      <formula2>0</formula2>
    </dataValidation>
    <dataValidation allowBlank="true" errorStyle="stop" operator="between" showDropDown="false" showErrorMessage="false" showInputMessage="false" sqref="E9:E28" type="list">
      <formula1>"Cat I,Cat II,Cat III,Cat IV"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3"/>
  </cols>
  <sheetData>
    <row r="1" customFormat="false" ht="18" hidden="false" customHeight="true" outlineLevel="0" collapsed="false">
      <c r="A1" s="2"/>
      <c r="B1" s="3" t="s">
        <v>0</v>
      </c>
      <c r="C1" s="3"/>
      <c r="D1" s="3"/>
      <c r="E1" s="3"/>
      <c r="F1" s="3"/>
    </row>
    <row r="2" customFormat="false" ht="25.5" hidden="false" customHeight="true" outlineLevel="0" collapsed="false">
      <c r="A2" s="2"/>
      <c r="B2" s="4" t="s">
        <v>1</v>
      </c>
      <c r="C2" s="4"/>
      <c r="D2" s="4"/>
      <c r="E2" s="4"/>
      <c r="F2" s="4"/>
    </row>
    <row r="3" customFormat="false" ht="21.75" hidden="false" customHeight="true" outlineLevel="0" collapsed="false">
      <c r="A3" s="2"/>
      <c r="B3" s="5" t="s">
        <v>2</v>
      </c>
      <c r="C3" s="5"/>
      <c r="D3" s="5"/>
      <c r="E3" s="5"/>
      <c r="F3" s="5"/>
    </row>
    <row r="4" customFormat="false" ht="15.75" hidden="false" customHeight="true" outlineLevel="0" collapsed="false">
      <c r="A4" s="2"/>
      <c r="B4" s="6" t="s">
        <v>134</v>
      </c>
      <c r="C4" s="6"/>
      <c r="D4" s="6"/>
      <c r="E4" s="6"/>
      <c r="F4" s="6"/>
    </row>
    <row r="5" customFormat="false" ht="6" hidden="false" customHeight="true" outlineLevel="0" collapsed="false"/>
    <row r="6" customFormat="false" ht="25.5" hidden="false" customHeight="true" outlineLevel="0" collapsed="false">
      <c r="A6" s="15" t="s">
        <v>135</v>
      </c>
      <c r="B6" s="15"/>
      <c r="C6" s="15"/>
      <c r="D6" s="15"/>
      <c r="E6" s="15"/>
      <c r="F6" s="15"/>
    </row>
    <row r="7" customFormat="false" ht="19.5" hidden="false" customHeight="true" outlineLevel="0" collapsed="false">
      <c r="A7" s="3" t="s">
        <v>136</v>
      </c>
      <c r="B7" s="3"/>
      <c r="C7" s="3"/>
      <c r="D7" s="3"/>
      <c r="E7" s="3"/>
      <c r="F7" s="3"/>
    </row>
    <row r="9" customFormat="false" ht="31.5" hidden="false" customHeight="true" outlineLevel="0" collapsed="false">
      <c r="A9" s="16" t="s">
        <v>137</v>
      </c>
      <c r="B9" s="16" t="s">
        <v>138</v>
      </c>
      <c r="C9" s="16" t="s">
        <v>139</v>
      </c>
      <c r="D9" s="16" t="s">
        <v>140</v>
      </c>
      <c r="E9" s="16" t="s">
        <v>141</v>
      </c>
      <c r="F9" s="16" t="s">
        <v>142</v>
      </c>
    </row>
    <row r="10" customFormat="false" ht="49.5" hidden="false" customHeight="true" outlineLevel="0" collapsed="false">
      <c r="A10" s="20" t="s">
        <v>143</v>
      </c>
      <c r="B10" s="59" t="s">
        <v>144</v>
      </c>
      <c r="C10" s="60" t="s">
        <v>145</v>
      </c>
      <c r="D10" s="60" t="s">
        <v>146</v>
      </c>
      <c r="E10" s="17" t="s">
        <v>147</v>
      </c>
      <c r="F10" s="61"/>
    </row>
    <row r="11" customFormat="false" ht="49.5" hidden="false" customHeight="true" outlineLevel="0" collapsed="false">
      <c r="A11" s="20" t="s">
        <v>148</v>
      </c>
      <c r="B11" s="59" t="s">
        <v>149</v>
      </c>
      <c r="C11" s="60" t="s">
        <v>150</v>
      </c>
      <c r="D11" s="60" t="s">
        <v>151</v>
      </c>
      <c r="E11" s="17" t="s">
        <v>147</v>
      </c>
      <c r="F11" s="61"/>
    </row>
    <row r="12" customFormat="false" ht="49.5" hidden="false" customHeight="true" outlineLevel="0" collapsed="false">
      <c r="A12" s="20" t="s">
        <v>152</v>
      </c>
      <c r="B12" s="59" t="s">
        <v>153</v>
      </c>
      <c r="C12" s="60" t="s">
        <v>154</v>
      </c>
      <c r="D12" s="60" t="s">
        <v>155</v>
      </c>
      <c r="E12" s="17" t="s">
        <v>147</v>
      </c>
      <c r="F12" s="61"/>
    </row>
    <row r="13" customFormat="false" ht="49.5" hidden="false" customHeight="true" outlineLevel="0" collapsed="false">
      <c r="A13" s="20" t="s">
        <v>156</v>
      </c>
      <c r="B13" s="59" t="s">
        <v>157</v>
      </c>
      <c r="C13" s="60" t="s">
        <v>158</v>
      </c>
      <c r="D13" s="60" t="s">
        <v>159</v>
      </c>
      <c r="E13" s="17" t="s">
        <v>147</v>
      </c>
      <c r="F13" s="61"/>
    </row>
    <row r="14" customFormat="false" ht="49.5" hidden="false" customHeight="true" outlineLevel="0" collapsed="false">
      <c r="A14" s="20" t="s">
        <v>160</v>
      </c>
      <c r="B14" s="59" t="s">
        <v>161</v>
      </c>
      <c r="C14" s="60" t="s">
        <v>162</v>
      </c>
      <c r="D14" s="60" t="s">
        <v>163</v>
      </c>
      <c r="E14" s="17" t="s">
        <v>147</v>
      </c>
      <c r="F14" s="61"/>
    </row>
    <row r="15" customFormat="false" ht="49.5" hidden="false" customHeight="true" outlineLevel="0" collapsed="false">
      <c r="A15" s="20" t="s">
        <v>164</v>
      </c>
      <c r="B15" s="59" t="s">
        <v>165</v>
      </c>
      <c r="C15" s="60" t="s">
        <v>166</v>
      </c>
      <c r="D15" s="60" t="s">
        <v>167</v>
      </c>
      <c r="E15" s="17" t="s">
        <v>147</v>
      </c>
      <c r="F15" s="61"/>
    </row>
    <row r="16" customFormat="false" ht="49.5" hidden="false" customHeight="true" outlineLevel="0" collapsed="false">
      <c r="A16" s="20" t="s">
        <v>168</v>
      </c>
      <c r="B16" s="59" t="s">
        <v>169</v>
      </c>
      <c r="C16" s="60" t="s">
        <v>166</v>
      </c>
      <c r="D16" s="60" t="s">
        <v>170</v>
      </c>
      <c r="E16" s="17" t="s">
        <v>147</v>
      </c>
      <c r="F16" s="61"/>
    </row>
    <row r="17" customFormat="false" ht="49.5" hidden="false" customHeight="true" outlineLevel="0" collapsed="false">
      <c r="A17" s="20" t="s">
        <v>171</v>
      </c>
      <c r="B17" s="59" t="s">
        <v>172</v>
      </c>
      <c r="C17" s="60" t="s">
        <v>150</v>
      </c>
      <c r="D17" s="60" t="s">
        <v>173</v>
      </c>
      <c r="E17" s="17" t="s">
        <v>147</v>
      </c>
      <c r="F17" s="61"/>
    </row>
    <row r="18" customFormat="false" ht="49.5" hidden="false" customHeight="true" outlineLevel="0" collapsed="false">
      <c r="A18" s="20" t="s">
        <v>174</v>
      </c>
      <c r="B18" s="59" t="s">
        <v>175</v>
      </c>
      <c r="C18" s="60" t="s">
        <v>166</v>
      </c>
      <c r="D18" s="60" t="s">
        <v>176</v>
      </c>
      <c r="E18" s="17" t="s">
        <v>147</v>
      </c>
      <c r="F18" s="61"/>
    </row>
    <row r="19" customFormat="false" ht="49.5" hidden="false" customHeight="true" outlineLevel="0" collapsed="false">
      <c r="A19" s="20" t="s">
        <v>177</v>
      </c>
      <c r="B19" s="59" t="s">
        <v>178</v>
      </c>
      <c r="C19" s="60" t="s">
        <v>166</v>
      </c>
      <c r="D19" s="60" t="s">
        <v>179</v>
      </c>
      <c r="E19" s="17" t="s">
        <v>147</v>
      </c>
      <c r="F19" s="61"/>
    </row>
    <row r="20" customFormat="false" ht="49.5" hidden="false" customHeight="true" outlineLevel="0" collapsed="false">
      <c r="A20" s="20" t="s">
        <v>180</v>
      </c>
      <c r="B20" s="59" t="s">
        <v>181</v>
      </c>
      <c r="C20" s="60" t="s">
        <v>182</v>
      </c>
      <c r="D20" s="60" t="s">
        <v>183</v>
      </c>
      <c r="E20" s="17" t="s">
        <v>147</v>
      </c>
      <c r="F20" s="61"/>
    </row>
    <row r="21" customFormat="false" ht="49.5" hidden="false" customHeight="true" outlineLevel="0" collapsed="false">
      <c r="A21" s="20" t="s">
        <v>184</v>
      </c>
      <c r="B21" s="59" t="s">
        <v>185</v>
      </c>
      <c r="C21" s="60" t="s">
        <v>166</v>
      </c>
      <c r="D21" s="60" t="s">
        <v>186</v>
      </c>
      <c r="E21" s="17" t="s">
        <v>147</v>
      </c>
      <c r="F21" s="61"/>
    </row>
    <row r="23" customFormat="false" ht="49.5" hidden="false" customHeight="true" outlineLevel="0" collapsed="false">
      <c r="A23" s="62" t="s">
        <v>187</v>
      </c>
      <c r="B23" s="62"/>
      <c r="C23" s="62"/>
      <c r="D23" s="62"/>
      <c r="E23" s="62"/>
      <c r="F23" s="62"/>
    </row>
    <row r="25" customFormat="false" ht="3.75" hidden="false" customHeight="true" outlineLevel="0" collapsed="false">
      <c r="A25" s="11"/>
      <c r="B25" s="11"/>
      <c r="C25" s="11"/>
      <c r="D25" s="11"/>
      <c r="E25" s="11"/>
      <c r="F25" s="11"/>
    </row>
    <row r="26" customFormat="false" ht="19.5" hidden="false" customHeight="true" outlineLevel="0" collapsed="false">
      <c r="A26" s="12" t="s">
        <v>22</v>
      </c>
      <c r="B26" s="12"/>
      <c r="C26" s="12"/>
      <c r="D26" s="12"/>
      <c r="E26" s="12"/>
      <c r="F26" s="12"/>
    </row>
    <row r="27" customFormat="false" ht="21.75" hidden="false" customHeight="true" outlineLevel="0" collapsed="false">
      <c r="A27" s="13" t="s">
        <v>23</v>
      </c>
      <c r="B27" s="13"/>
      <c r="C27" s="13"/>
      <c r="D27" s="13"/>
      <c r="E27" s="13"/>
      <c r="F27" s="13"/>
    </row>
  </sheetData>
  <mergeCells count="11">
    <mergeCell ref="A1:A4"/>
    <mergeCell ref="B1:F1"/>
    <mergeCell ref="B2:F2"/>
    <mergeCell ref="B3:F3"/>
    <mergeCell ref="B4:F4"/>
    <mergeCell ref="A6:F6"/>
    <mergeCell ref="A7:F7"/>
    <mergeCell ref="A23:F23"/>
    <mergeCell ref="A25:F25"/>
    <mergeCell ref="A26:F26"/>
    <mergeCell ref="A27:F27"/>
  </mergeCells>
  <dataValidations count="1">
    <dataValidation allowBlank="true" errorStyle="stop" operator="between" showDropDown="false" showErrorMessage="false" showInputMessage="false" sqref="F10:F21" type="list">
      <formula1>"Pending,In Progress,Done,Overdue"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8"/>
    <col collapsed="false" customWidth="true" hidden="false" outlineLevel="0" max="6" min="5" style="1" width="14"/>
  </cols>
  <sheetData>
    <row r="1" customFormat="false" ht="18" hidden="false" customHeight="true" outlineLevel="0" collapsed="false">
      <c r="A1" s="2"/>
      <c r="B1" s="3" t="s">
        <v>0</v>
      </c>
      <c r="C1" s="3"/>
      <c r="D1" s="3"/>
      <c r="E1" s="3"/>
      <c r="F1" s="3"/>
    </row>
    <row r="2" customFormat="false" ht="25.5" hidden="false" customHeight="true" outlineLevel="0" collapsed="false">
      <c r="A2" s="2"/>
      <c r="B2" s="4" t="s">
        <v>1</v>
      </c>
      <c r="C2" s="4"/>
      <c r="D2" s="4"/>
      <c r="E2" s="4"/>
      <c r="F2" s="4"/>
    </row>
    <row r="3" customFormat="false" ht="21.75" hidden="false" customHeight="true" outlineLevel="0" collapsed="false">
      <c r="A3" s="2"/>
      <c r="B3" s="5" t="s">
        <v>2</v>
      </c>
      <c r="C3" s="5"/>
      <c r="D3" s="5"/>
      <c r="E3" s="5"/>
      <c r="F3" s="5"/>
    </row>
    <row r="4" customFormat="false" ht="15.75" hidden="false" customHeight="true" outlineLevel="0" collapsed="false">
      <c r="A4" s="2"/>
      <c r="B4" s="6" t="s">
        <v>188</v>
      </c>
      <c r="C4" s="6"/>
      <c r="D4" s="6"/>
      <c r="E4" s="6"/>
      <c r="F4" s="6"/>
    </row>
    <row r="5" customFormat="false" ht="6" hidden="false" customHeight="true" outlineLevel="0" collapsed="false"/>
    <row r="6" customFormat="false" ht="30" hidden="false" customHeight="true" outlineLevel="0" collapsed="false">
      <c r="A6" s="7" t="s">
        <v>189</v>
      </c>
      <c r="B6" s="7"/>
      <c r="C6" s="7"/>
      <c r="D6" s="7"/>
      <c r="E6" s="7"/>
      <c r="F6" s="7"/>
    </row>
    <row r="7" customFormat="false" ht="21.75" hidden="false" customHeight="true" outlineLevel="0" collapsed="false">
      <c r="A7" s="23" t="s">
        <v>190</v>
      </c>
      <c r="B7" s="23"/>
      <c r="C7" s="23"/>
      <c r="D7" s="23"/>
      <c r="E7" s="23"/>
      <c r="F7" s="23"/>
    </row>
    <row r="9" customFormat="false" ht="36" hidden="false" customHeight="true" outlineLevel="0" collapsed="false">
      <c r="A9" s="63" t="s">
        <v>191</v>
      </c>
      <c r="B9" s="63"/>
      <c r="C9" s="63"/>
      <c r="D9" s="63"/>
      <c r="E9" s="64" t="str">
        <f aca="false">IFERROR(IF('2. Monthly Tonnage'!F22="","",'2. Monthly Tonnage'!F22),0)</f>
        <v/>
      </c>
      <c r="F9" s="64"/>
    </row>
    <row r="10" customFormat="false" ht="36" hidden="false" customHeight="true" outlineLevel="0" collapsed="false">
      <c r="A10" s="65" t="s">
        <v>192</v>
      </c>
      <c r="B10" s="65"/>
      <c r="C10" s="65"/>
      <c r="D10" s="65"/>
      <c r="E10" s="66" t="str">
        <f aca="false">IFERROR(IF('2. Monthly Tonnage'!J22="","",'2. Monthly Tonnage'!J22),0)</f>
        <v/>
      </c>
      <c r="F10" s="66"/>
    </row>
    <row r="11" customFormat="false" ht="36" hidden="false" customHeight="true" outlineLevel="0" collapsed="false">
      <c r="A11" s="67" t="s">
        <v>193</v>
      </c>
      <c r="B11" s="67"/>
      <c r="C11" s="67"/>
      <c r="D11" s="67"/>
      <c r="E11" s="68" t="str">
        <f aca="false">IFERROR(IF('3. Credit Log'!F30="","",'3. Credit Log'!F30),0)</f>
        <v/>
      </c>
      <c r="F11" s="68"/>
    </row>
    <row r="12" customFormat="false" ht="36" hidden="false" customHeight="true" outlineLevel="0" collapsed="false">
      <c r="A12" s="69" t="s">
        <v>194</v>
      </c>
      <c r="B12" s="69"/>
      <c r="C12" s="69"/>
      <c r="D12" s="69"/>
      <c r="E12" s="70" t="str">
        <f aca="false">IFERROR(IF(OR('2. Monthly Tonnage'!J22="",'3. Credit Log'!F30=""),"",MAX('2. Monthly Tonnage'!J22-'3. Credit Log'!F30,0)),0)</f>
        <v/>
      </c>
      <c r="F12" s="70"/>
    </row>
    <row r="13" customFormat="false" ht="36" hidden="false" customHeight="true" outlineLevel="0" collapsed="false">
      <c r="A13" s="63" t="s">
        <v>195</v>
      </c>
      <c r="B13" s="63"/>
      <c r="C13" s="63"/>
      <c r="D13" s="63"/>
      <c r="E13" s="71" t="str">
        <f aca="false">IFERROR(IF('3. Credit Log'!H30="","",'3. Credit Log'!H30),0)</f>
        <v/>
      </c>
      <c r="F13" s="71"/>
    </row>
    <row r="14" customFormat="false" ht="36" hidden="false" customHeight="true" outlineLevel="0" collapsed="false">
      <c r="A14" s="67" t="s">
        <v>196</v>
      </c>
      <c r="B14" s="67"/>
      <c r="C14" s="67"/>
      <c r="D14" s="67"/>
      <c r="E14" s="72" t="str">
        <f aca="false">IFERROR(IF(OR('2. Monthly Tonnage'!J22="",'3. Credit Log'!F30="",'2. Monthly Tonnage'!J22=0),"",MIN('3. Credit Log'!F30/'2. Monthly Tonnage'!J22,1)),0)</f>
        <v/>
      </c>
      <c r="F14" s="72"/>
    </row>
    <row r="16" customFormat="false" ht="24" hidden="false" customHeight="true" outlineLevel="0" collapsed="false">
      <c r="A16" s="23" t="s">
        <v>197</v>
      </c>
      <c r="B16" s="23"/>
      <c r="C16" s="23"/>
      <c r="D16" s="23"/>
      <c r="E16" s="23"/>
      <c r="F16" s="23"/>
    </row>
    <row r="17" customFormat="false" ht="49.5" hidden="false" customHeight="true" outlineLevel="0" collapsed="false">
      <c r="A17" s="73" t="str">
        <f aca="false">IF(OR('2. Monthly Tonnage'!J22="",'3. Credit Log'!F30=""),"⏳ ENTER DATA in Tab 2 (Monthly Tonnage) and Tab 3 (Credit Log) to see status",IF('3. Credit Log'!F30/'2. Monthly Tonnage'!J22&gt;=1,"✅ COMPLIANT — credits procured meet/exceed obligation. Maintain audit trail.",IF('3. Credit Log'!F30/'2. Monthly Tonnage'!J22&gt;=0.67,"⚠ AT RISK — close gap before annual filing or use carry-forward (1/3 each year)","❌ NON-COMPLIANT — major shortfall. Immediate action: procure credits or activate carry-forward plan")))</f>
        <v>⏳ ENTER DATA in Tab 2 (Monthly Tonnage) and Tab 3 (Credit Log) to see status</v>
      </c>
      <c r="B17" s="73"/>
      <c r="C17" s="73"/>
      <c r="D17" s="73"/>
      <c r="E17" s="73"/>
      <c r="F17" s="73"/>
    </row>
    <row r="19" customFormat="false" ht="21.75" hidden="false" customHeight="true" outlineLevel="0" collapsed="false">
      <c r="A19" s="74" t="s">
        <v>198</v>
      </c>
      <c r="B19" s="74"/>
      <c r="C19" s="74"/>
      <c r="D19" s="74"/>
      <c r="E19" s="74"/>
      <c r="F19" s="74"/>
    </row>
    <row r="20" customFormat="false" ht="25.5" hidden="false" customHeight="true" outlineLevel="0" collapsed="false">
      <c r="A20" s="75" t="s">
        <v>199</v>
      </c>
      <c r="B20" s="76" t="s">
        <v>200</v>
      </c>
      <c r="C20" s="76"/>
      <c r="D20" s="76"/>
      <c r="E20" s="76"/>
      <c r="F20" s="76"/>
    </row>
    <row r="21" customFormat="false" ht="25.5" hidden="false" customHeight="true" outlineLevel="0" collapsed="false">
      <c r="A21" s="77" t="s">
        <v>201</v>
      </c>
      <c r="B21" s="76" t="s">
        <v>202</v>
      </c>
      <c r="C21" s="76"/>
      <c r="D21" s="76"/>
      <c r="E21" s="76"/>
      <c r="F21" s="76"/>
    </row>
    <row r="22" customFormat="false" ht="25.5" hidden="false" customHeight="true" outlineLevel="0" collapsed="false">
      <c r="A22" s="78" t="s">
        <v>203</v>
      </c>
      <c r="B22" s="76" t="s">
        <v>204</v>
      </c>
      <c r="C22" s="76"/>
      <c r="D22" s="76"/>
      <c r="E22" s="76"/>
      <c r="F22" s="76"/>
    </row>
    <row r="24" customFormat="false" ht="3.75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19.5" hidden="false" customHeight="true" outlineLevel="0" collapsed="false">
      <c r="A25" s="12" t="s">
        <v>22</v>
      </c>
      <c r="B25" s="12"/>
      <c r="C25" s="12"/>
      <c r="D25" s="12"/>
      <c r="E25" s="12"/>
      <c r="F25" s="12"/>
    </row>
    <row r="26" customFormat="false" ht="21.75" hidden="false" customHeight="true" outlineLevel="0" collapsed="false">
      <c r="A26" s="13" t="s">
        <v>23</v>
      </c>
      <c r="B26" s="13"/>
      <c r="C26" s="13"/>
      <c r="D26" s="13"/>
      <c r="E26" s="13"/>
      <c r="F26" s="13"/>
    </row>
  </sheetData>
  <mergeCells count="28">
    <mergeCell ref="A1:A4"/>
    <mergeCell ref="B1:F1"/>
    <mergeCell ref="B2:F2"/>
    <mergeCell ref="B3:F3"/>
    <mergeCell ref="B4:F4"/>
    <mergeCell ref="A6:F6"/>
    <mergeCell ref="A7:F7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6:F16"/>
    <mergeCell ref="A17:F17"/>
    <mergeCell ref="A19:F19"/>
    <mergeCell ref="B20:F20"/>
    <mergeCell ref="B21:F21"/>
    <mergeCell ref="B22:F22"/>
    <mergeCell ref="A24:F24"/>
    <mergeCell ref="A25:F25"/>
    <mergeCell ref="A26:F2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2026-05-03T13:27:39Z</dcterms:created>
  <dc:creator>openpyxl</dc:creator>
  <dc:description/>
  <dc:language>en-US</dc:language>
  <cp:lastModifiedBy/>
  <dcterms:modified xsi:type="dcterms:W3CDTF">2026-05-03T13:27:39Z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