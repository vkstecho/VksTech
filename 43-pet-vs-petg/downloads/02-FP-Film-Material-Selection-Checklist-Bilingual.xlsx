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Selection Checklist" sheetId="1" state="visible" r:id="rId1"/>
    <sheet xmlns:r="http://schemas.openxmlformats.org/officeDocument/2006/relationships" name="HI - चयन चेकलिस्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color rgb="001A2744"/>
      <sz val="10"/>
    </font>
    <font>
      <name val="Arial"/>
      <i val="1"/>
      <color rgb="005A5A5A"/>
      <sz val="10"/>
    </font>
    <font>
      <name val="Arial"/>
      <b val="1"/>
      <color rgb="00E85D26"/>
      <sz val="11"/>
    </font>
    <font>
      <name val="Arial"/>
      <b val="1"/>
      <color rgb="000D8C7E"/>
      <sz val="11"/>
    </font>
    <font>
      <name val="Arial"/>
      <i val="1"/>
      <color rgb="005A5A5A"/>
      <sz val="9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E85D26"/>
      <sz val="9"/>
    </font>
    <font>
      <name val="Arial"/>
      <b val="1"/>
      <color rgb="000D8C7E"/>
      <sz val="9"/>
    </font>
    <font>
      <name val="Arial"/>
      <i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85D26"/>
      </patternFill>
    </fill>
    <fill>
      <patternFill patternType="solid">
        <fgColor rgb="00FAF9F6"/>
      </patternFill>
    </fill>
    <fill>
      <patternFill patternType="solid">
        <fgColor rgb="00FFFDE8"/>
      </patternFill>
    </fill>
    <fill>
      <patternFill patternType="solid">
        <fgColor rgb="00FDEAE0"/>
      </patternFill>
    </fill>
    <fill>
      <patternFill patternType="solid">
        <fgColor rgb="00DDF2EF"/>
      </patternFill>
    </fill>
    <fill>
      <patternFill patternType="solid">
        <fgColor rgb="00FFFFFF"/>
      </patternFill>
    </fill>
    <fill>
      <patternFill patternType="solid">
        <fgColor rgb="000D8C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42" customWidth="1" min="4" max="4"/>
    <col width="24" customWidth="1" min="5" max="5"/>
    <col width="14" customWidth="1" min="6" max="6"/>
    <col width="14" customWidth="1" min="7" max="7"/>
    <col width="26" customWidth="1" min="8" max="8"/>
  </cols>
  <sheetData>
    <row r="1" ht="52" customHeight="1">
      <c r="B1" s="1" t="n"/>
      <c r="C1" s="1" t="n"/>
      <c r="D1" s="2" t="inlineStr">
        <is>
          <t>FP Film Material Selection Checklist  |  Blog #43  |  vkstech.com</t>
        </is>
      </c>
    </row>
    <row r="2" ht="22" customHeight="1">
      <c r="B2" s="3" t="inlineStr">
        <is>
          <t>Answer all 10 questions using the yellow dropdowns → auto-recommendation appears at the bottom</t>
        </is>
      </c>
    </row>
    <row r="3" ht="5" customHeight="1">
      <c r="B3" s="4" t="n"/>
    </row>
    <row r="4" ht="32" customHeight="1">
      <c r="B4" s="5" t="inlineStr"/>
      <c r="C4" s="5" t="inlineStr">
        <is>
          <t>#</t>
        </is>
      </c>
      <c r="D4" s="5" t="inlineStr">
        <is>
          <t>QUESTION</t>
        </is>
      </c>
      <c r="E4" s="5" t="inlineStr">
        <is>
          <t>YOUR ANSWER
(Yellow dropdown)</t>
        </is>
      </c>
      <c r="F4" s="5" t="inlineStr">
        <is>
          <t>PET
Score</t>
        </is>
      </c>
      <c r="G4" s="5" t="inlineStr">
        <is>
          <t>PETG
Score</t>
        </is>
      </c>
      <c r="H4" s="5" t="inlineStr">
        <is>
          <t>NOTES</t>
        </is>
      </c>
    </row>
    <row r="5" ht="30" customHeight="1">
      <c r="B5" s="6" t="n"/>
      <c r="C5" s="7" t="n">
        <v>1</v>
      </c>
      <c r="D5" s="8" t="inlineStr">
        <is>
          <t>Does this film need to SHRINK around a shape?</t>
        </is>
      </c>
      <c r="E5" s="9" t="inlineStr">
        <is>
          <t>← Select</t>
        </is>
      </c>
      <c r="F5" s="10">
        <f>IF(E5="No — flat film only",1,0)</f>
        <v/>
      </c>
      <c r="G5" s="11">
        <f>IF(E5="Yes — shrink sleeve or band",1,0)</f>
        <v/>
      </c>
      <c r="H5" s="12" t="inlineStr">
        <is>
          <t>PETG is the only option when shrink is required</t>
        </is>
      </c>
    </row>
    <row r="6" ht="30" customHeight="1">
      <c r="B6" s="13" t="n"/>
      <c r="C6" s="7" t="n">
        <v>2</v>
      </c>
      <c r="D6" s="14" t="inlineStr">
        <is>
          <t>Max temperature in use?</t>
        </is>
      </c>
      <c r="E6" s="9" t="inlineStr">
        <is>
          <t>← Select</t>
        </is>
      </c>
      <c r="F6" s="10">
        <f>IF(E6="Above 80°C (hot-fill / retort)",1,0)</f>
        <v/>
      </c>
      <c r="G6" s="11">
        <f>IF(E6="Below 70°C",1,0)</f>
        <v/>
      </c>
      <c r="H6" s="15" t="inlineStr">
        <is>
          <t>PET mandatory for retort/hot-fill above 80°C</t>
        </is>
      </c>
    </row>
    <row r="7" ht="30" customHeight="1">
      <c r="B7" s="6" t="n"/>
      <c r="C7" s="7" t="n">
        <v>3</v>
      </c>
      <c r="D7" s="8" t="inlineStr">
        <is>
          <t>Will this film go through a vacuum metalliser?</t>
        </is>
      </c>
      <c r="E7" s="9" t="inlineStr">
        <is>
          <t>← Select</t>
        </is>
      </c>
      <c r="F7" s="10">
        <f>IF(E7="Yes — must be metallisable",1,0)</f>
        <v/>
      </c>
      <c r="G7" s="11">
        <f>IF(E7="No — not required",1,0)</f>
        <v/>
      </c>
      <c r="H7" s="12" t="inlineStr">
        <is>
          <t>Only BOPET (PET) metallises reliably</t>
        </is>
      </c>
    </row>
    <row r="8" ht="30" customHeight="1">
      <c r="B8" s="13" t="n"/>
      <c r="C8" s="7" t="n">
        <v>4</v>
      </c>
      <c r="D8" s="14" t="inlineStr">
        <is>
          <t>Is this a lamination outer substrate (pouch/bag)?</t>
        </is>
      </c>
      <c r="E8" s="9" t="inlineStr">
        <is>
          <t>← Select</t>
        </is>
      </c>
      <c r="F8" s="10">
        <f>IF(E8="Yes — lamination web",1,0)</f>
        <v/>
      </c>
      <c r="G8" s="11">
        <f>IF(E8="No — other application",1,0)</f>
        <v/>
      </c>
      <c r="H8" s="15" t="inlineStr">
        <is>
          <t>PET is the standard lamination outer web</t>
        </is>
      </c>
    </row>
    <row r="9" ht="30" customHeight="1">
      <c r="B9" s="6" t="n"/>
      <c r="C9" s="7" t="n">
        <v>5</v>
      </c>
      <c r="D9" s="8" t="inlineStr">
        <is>
          <t>How important is optical clarity / gloss?</t>
        </is>
      </c>
      <c r="E9" s="9" t="inlineStr">
        <is>
          <t>← Select</t>
        </is>
      </c>
      <c r="F9" s="10">
        <f>IF(E9="Standard transparency OK",1,0)</f>
        <v/>
      </c>
      <c r="G9" s="11">
        <f>IF(E9="Maximum glass-like clarity needed",1,0)</f>
        <v/>
      </c>
      <c r="H9" s="12" t="inlineStr">
        <is>
          <t>PETG has superior glass-like brilliance</t>
        </is>
      </c>
    </row>
    <row r="10" ht="30" customHeight="1">
      <c r="B10" s="13" t="n"/>
      <c r="C10" s="7" t="n">
        <v>6</v>
      </c>
      <c r="D10" s="14" t="inlineStr">
        <is>
          <t>Is O₂ / moisture barrier a critical spec?</t>
        </is>
      </c>
      <c r="E10" s="9" t="inlineStr">
        <is>
          <t>← Select</t>
        </is>
      </c>
      <c r="F10" s="10">
        <f>IF(E10="Yes — long shelf-life food / pharma",1,0)</f>
        <v/>
      </c>
      <c r="G10" s="11">
        <f>IF(E10="No — flexibility or clarity is priority",1,0)</f>
        <v/>
      </c>
      <c r="H10" s="15" t="inlineStr">
        <is>
          <t>PET barrier is measurably stronger than PETG</t>
        </is>
      </c>
    </row>
    <row r="11" ht="30" customHeight="1">
      <c r="B11" s="6" t="n"/>
      <c r="C11" s="7" t="n">
        <v>7</v>
      </c>
      <c r="D11" s="8" t="inlineStr">
        <is>
          <t>Will film be thermoformed into complex shapes?</t>
        </is>
      </c>
      <c r="E11" s="9" t="inlineStr">
        <is>
          <t>← Select</t>
        </is>
      </c>
      <c r="F11" s="10">
        <f>IF(E11="No — flat or simple forming",1,0)</f>
        <v/>
      </c>
      <c r="G11" s="11">
        <f>IF(E11="Yes — deep draw / complex blister cavity",1,0)</f>
        <v/>
      </c>
      <c r="H11" s="12" t="inlineStr">
        <is>
          <t>PETG thermoforms at lower temp with fewer cracks</t>
        </is>
      </c>
    </row>
    <row r="12" ht="30" customHeight="1">
      <c r="B12" s="13" t="n"/>
      <c r="C12" s="7" t="n">
        <v>8</v>
      </c>
      <c r="D12" s="14" t="inlineStr">
        <is>
          <t>Will product be stored in cold chain / frozen?</t>
        </is>
      </c>
      <c r="E12" s="9" t="inlineStr">
        <is>
          <t>← Select</t>
        </is>
      </c>
      <c r="F12" s="10">
        <f>IF(E12="No — ambient storage",1,0)</f>
        <v/>
      </c>
      <c r="G12" s="11">
        <f>IF(E12="Yes — cold / frozen storage",1,0)</f>
        <v/>
      </c>
      <c r="H12" s="15" t="inlineStr">
        <is>
          <t>PETG stays flexible in cold; PET can become brittle</t>
        </is>
      </c>
    </row>
    <row r="13" ht="30" customHeight="1">
      <c r="B13" s="6" t="n"/>
      <c r="C13" s="7" t="n">
        <v>9</v>
      </c>
      <c r="D13" s="8" t="inlineStr">
        <is>
          <t>Is lowest cost per kg the primary factor?</t>
        </is>
      </c>
      <c r="E13" s="9" t="inlineStr">
        <is>
          <t>← Select</t>
        </is>
      </c>
      <c r="F13" s="10">
        <f>IF(E13="Yes — cost is primary",1,0)</f>
        <v/>
      </c>
      <c r="G13" s="11">
        <f>IF(E13="No — performance is priority",1,0)</f>
        <v/>
      </c>
      <c r="H13" s="12" t="inlineStr">
        <is>
          <t>PET is 10–20% cheaper per kg than PETG</t>
        </is>
      </c>
    </row>
    <row r="14" ht="30" customHeight="1">
      <c r="B14" s="13" t="n"/>
      <c r="C14" s="7" t="n">
        <v>10</v>
      </c>
      <c r="D14" s="14" t="inlineStr">
        <is>
          <t>Is Resin #1 recyclability a priority?</t>
        </is>
      </c>
      <c r="E14" s="9" t="inlineStr">
        <is>
          <t>← Select</t>
        </is>
      </c>
      <c r="F14" s="10">
        <f>IF(E14="Yes — widely recycled preferred",1,0)</f>
        <v/>
      </c>
      <c r="G14" s="11">
        <f>IF(E14="No — performance over recyclability",1,0)</f>
        <v/>
      </c>
      <c r="H14" s="15" t="inlineStr">
        <is>
          <t>Both are Resin #1; PET recycling more established in India</t>
        </is>
      </c>
    </row>
    <row r="16" ht="32" customHeight="1">
      <c r="B16" s="16" t="inlineStr">
        <is>
          <t>TOTAL SCORE (out of 10)</t>
        </is>
      </c>
      <c r="F16" s="17">
        <f>SUM(F5:F14)</f>
        <v/>
      </c>
      <c r="G16" s="18">
        <f>SUM(G5:G14)</f>
        <v/>
      </c>
    </row>
    <row r="17" ht="22" customHeight="1">
      <c r="B17" s="6" t="n"/>
      <c r="F17" s="19" t="inlineStr">
        <is>
          <t>← PET score</t>
        </is>
      </c>
      <c r="G17" s="20" t="inlineStr">
        <is>
          <t>← PETG score</t>
        </is>
      </c>
    </row>
    <row r="19" ht="44" customHeight="1">
      <c r="B19" s="21">
        <f>IF(F16&gt;G16,"✅  RECOMMENDATION: PET / BOPET — Your application favors rigid, high-barrier, heat-resistant film. Good starting point: 12µ BOPET.",IF(G16&gt;F16,"✅  RECOMMENDATION: PETG — Your application favors flexible, shrinkable, high-clarity film. Confirm shrink % and heat tunnel specs with supplier.","⚡  TIED — Discuss with your film supplier. Both materials may suit your application depending on budget vs. performance priority."))</f>
        <v/>
      </c>
    </row>
    <row r="21" ht="22" customHeight="1">
      <c r="B21" s="22" t="inlineStr">
        <is>
          <t>⚠  Starting recommendation only. Always validate with your film supplier and technical team.</t>
        </is>
      </c>
    </row>
    <row r="22" ht="18" customHeight="1">
      <c r="B22" s="23" t="inlineStr">
        <is>
          <t>vkstech.com  |  Vivek Kumar  |  M.Tech NIT Uttarakhand  |  9+ Years Flexible Packaging  |  Blog #43</t>
        </is>
      </c>
    </row>
  </sheetData>
  <mergeCells count="8">
    <mergeCell ref="B22:H22"/>
    <mergeCell ref="B17:E17"/>
    <mergeCell ref="B21:H21"/>
    <mergeCell ref="D1:H1"/>
    <mergeCell ref="B16:E16"/>
    <mergeCell ref="B2:H2"/>
    <mergeCell ref="B3:H3"/>
    <mergeCell ref="B19:H19"/>
  </mergeCells>
  <dataValidations count="10">
    <dataValidation sqref="E5" showDropDown="0" showInputMessage="0" showErrorMessage="0" allowBlank="1" type="list">
      <formula1>"No — flat film only","Yes — shrink sleeve or band"</formula1>
    </dataValidation>
    <dataValidation sqref="E6" showDropDown="0" showInputMessage="0" showErrorMessage="0" allowBlank="1" type="list">
      <formula1>"Below 70°C","70–80°C","Above 80°C (hot-fill / retort)"</formula1>
    </dataValidation>
    <dataValidation sqref="E7" showDropDown="0" showInputMessage="0" showErrorMessage="0" allowBlank="1" type="list">
      <formula1>"Yes — must be metallisable","No — not required"</formula1>
    </dataValidation>
    <dataValidation sqref="E8" showDropDown="0" showInputMessage="0" showErrorMessage="0" allowBlank="1" type="list">
      <formula1>"Yes — lamination web","No — other application"</formula1>
    </dataValidation>
    <dataValidation sqref="E9" showDropDown="0" showInputMessage="0" showErrorMessage="0" allowBlank="1" type="list">
      <formula1>"Standard transparency OK","Maximum glass-like clarity needed"</formula1>
    </dataValidation>
    <dataValidation sqref="E10" showDropDown="0" showInputMessage="0" showErrorMessage="0" allowBlank="1" type="list">
      <formula1>"Yes — long shelf-life food / pharma","No — flexibility or clarity is priority"</formula1>
    </dataValidation>
    <dataValidation sqref="E11" showDropDown="0" showInputMessage="0" showErrorMessage="0" allowBlank="1" type="list">
      <formula1>"No — flat or simple forming","Yes — deep draw / complex blister cavity"</formula1>
    </dataValidation>
    <dataValidation sqref="E12" showDropDown="0" showInputMessage="0" showErrorMessage="0" allowBlank="1" type="list">
      <formula1>"No — ambient storage","Yes — cold / frozen storage"</formula1>
    </dataValidation>
    <dataValidation sqref="E13" showDropDown="0" showInputMessage="0" showErrorMessage="0" allowBlank="1" type="list">
      <formula1>"Yes — cost is primary","No — performance is priority"</formula1>
    </dataValidation>
    <dataValidation sqref="E14" showDropDown="0" showInputMessage="0" showErrorMessage="0" allowBlank="1" type="list">
      <formula1>"Yes — widely recycled preferred","No — performance over recyclability"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42" customWidth="1" min="4" max="4"/>
    <col width="24" customWidth="1" min="5" max="5"/>
    <col width="14" customWidth="1" min="6" max="6"/>
    <col width="14" customWidth="1" min="7" max="7"/>
    <col width="26" customWidth="1" min="8" max="8"/>
  </cols>
  <sheetData>
    <row r="1" ht="52" customHeight="1">
      <c r="B1" s="1" t="n"/>
      <c r="C1" s="1" t="n"/>
      <c r="D1" s="2" t="inlineStr">
        <is>
          <t>FP Film Material Selection Checklist — चयन चेकलिस्ट  |  Blog #43  |  vkstech.com</t>
        </is>
      </c>
    </row>
    <row r="2" ht="22" customHeight="1">
      <c r="B2" s="3" t="inlineStr">
        <is>
          <t>सभी 10 सवालों के जवाब yellow dropdown से दें → नीचे auto-recommendation दिखेगी</t>
        </is>
      </c>
    </row>
    <row r="3" ht="5" customHeight="1">
      <c r="B3" s="4" t="n"/>
    </row>
    <row r="4" ht="32" customHeight="1">
      <c r="B4" s="5" t="inlineStr"/>
      <c r="C4" s="5" t="inlineStr">
        <is>
          <t>#</t>
        </is>
      </c>
      <c r="D4" s="5" t="inlineStr">
        <is>
          <t>सवाल</t>
        </is>
      </c>
      <c r="E4" s="5" t="inlineStr">
        <is>
          <t>आपका जवाब
(Yellow dropdown)</t>
        </is>
      </c>
      <c r="F4" s="5" t="inlineStr">
        <is>
          <t>PET
Score</t>
        </is>
      </c>
      <c r="G4" s="5" t="inlineStr">
        <is>
          <t>PETG
Score</t>
        </is>
      </c>
      <c r="H4" s="5" t="inlineStr">
        <is>
          <t>Notes</t>
        </is>
      </c>
    </row>
    <row r="5" ht="30" customHeight="1">
      <c r="B5" s="6" t="n"/>
      <c r="C5" s="7" t="n">
        <v>1</v>
      </c>
      <c r="D5" s="8" t="inlineStr">
        <is>
          <t>क्या film को किसी shape के around SHRINK करना है?</t>
        </is>
      </c>
      <c r="E5" s="9" t="inlineStr">
        <is>
          <t>← Select करें</t>
        </is>
      </c>
      <c r="F5" s="10">
        <f>IF(E5="नहीं — flat film only",1,0)</f>
        <v/>
      </c>
      <c r="G5" s="11">
        <f>IF(E5="हाँ — shrink sleeve या band",1,0)</f>
        <v/>
      </c>
      <c r="H5" s="12" t="inlineStr">
        <is>
          <t>PETG ही option है जब shrink ज़रूरी हो</t>
        </is>
      </c>
    </row>
    <row r="6" ht="30" customHeight="1">
      <c r="B6" s="13" t="n"/>
      <c r="C6" s="7" t="n">
        <v>2</v>
      </c>
      <c r="D6" s="14" t="inlineStr">
        <is>
          <t>Use में maximum temperature कितना होगा?</t>
        </is>
      </c>
      <c r="E6" s="9" t="inlineStr">
        <is>
          <t>← Select करें</t>
        </is>
      </c>
      <c r="F6" s="10">
        <f>IF(E6="80°C से ऊपर (hot-fill / retort)",1,0)</f>
        <v/>
      </c>
      <c r="G6" s="11">
        <f>IF(E6="70°C से नीचे",1,0)</f>
        <v/>
      </c>
      <c r="H6" s="15" t="inlineStr">
        <is>
          <t>Retort/hot-fill के लिए PET mandatory है</t>
        </is>
      </c>
    </row>
    <row r="7" ht="30" customHeight="1">
      <c r="B7" s="6" t="n"/>
      <c r="C7" s="7" t="n">
        <v>3</v>
      </c>
      <c r="D7" s="8" t="inlineStr">
        <is>
          <t>क्या film vacuum metalliser में जाएगी?</t>
        </is>
      </c>
      <c r="E7" s="9" t="inlineStr">
        <is>
          <t>← Select करें</t>
        </is>
      </c>
      <c r="F7" s="10">
        <f>IF(E7="हाँ — metallisable होना ज़रूरी",1,0)</f>
        <v/>
      </c>
      <c r="G7" s="11">
        <f>IF(E7="नहीं — ज़रूरत नहीं",1,0)</f>
        <v/>
      </c>
      <c r="H7" s="12" t="inlineStr">
        <is>
          <t>BOPET (PET) ही reliably metallise होता है</t>
        </is>
      </c>
    </row>
    <row r="8" ht="30" customHeight="1">
      <c r="B8" s="13" t="n"/>
      <c r="C8" s="7" t="n">
        <v>4</v>
      </c>
      <c r="D8" s="14" t="inlineStr">
        <is>
          <t>क्या यह lamination outer substrate है?</t>
        </is>
      </c>
      <c r="E8" s="9" t="inlineStr">
        <is>
          <t>← Select करें</t>
        </is>
      </c>
      <c r="F8" s="10">
        <f>IF(E8="हाँ — lamination web",1,0)</f>
        <v/>
      </c>
      <c r="G8" s="11">
        <f>IF(E8="नहीं — दूसरा application",1,0)</f>
        <v/>
      </c>
      <c r="H8" s="15" t="inlineStr">
        <is>
          <t>PET standard lamination outer web है</t>
        </is>
      </c>
    </row>
    <row r="9" ht="30" customHeight="1">
      <c r="B9" s="6" t="n"/>
      <c r="C9" s="7" t="n">
        <v>5</v>
      </c>
      <c r="D9" s="8" t="inlineStr">
        <is>
          <t>Optical clarity / gloss कितनी important है?</t>
        </is>
      </c>
      <c r="E9" s="9" t="inlineStr">
        <is>
          <t>← Select करें</t>
        </is>
      </c>
      <c r="F9" s="10">
        <f>IF(E9="Standard transparency ठीक है",1,0)</f>
        <v/>
      </c>
      <c r="G9" s="11">
        <f>IF(E9="Maximum glass-like clarity ज़रूरी",1,0)</f>
        <v/>
      </c>
      <c r="H9" s="12" t="inlineStr">
        <is>
          <t>PETG में superior glass-like brilliance है</t>
        </is>
      </c>
    </row>
    <row r="10" ht="30" customHeight="1">
      <c r="B10" s="13" t="n"/>
      <c r="C10" s="7" t="n">
        <v>6</v>
      </c>
      <c r="D10" s="14" t="inlineStr">
        <is>
          <t>क्या O2 / moisture barrier critical spec है?</t>
        </is>
      </c>
      <c r="E10" s="9" t="inlineStr">
        <is>
          <t>← Select करें</t>
        </is>
      </c>
      <c r="F10" s="10">
        <f>IF(E10="हाँ — long shelf-life food / pharma",1,0)</f>
        <v/>
      </c>
      <c r="G10" s="11">
        <f>IF(E10="नहीं — flexibility या clarity priority",1,0)</f>
        <v/>
      </c>
      <c r="H10" s="15" t="inlineStr">
        <is>
          <t>PET barrier PETG से measurably stronger है</t>
        </is>
      </c>
    </row>
    <row r="11" ht="30" customHeight="1">
      <c r="B11" s="6" t="n"/>
      <c r="C11" s="7" t="n">
        <v>7</v>
      </c>
      <c r="D11" s="8" t="inlineStr">
        <is>
          <t>क्या film complex shapes में thermoform होगी?</t>
        </is>
      </c>
      <c r="E11" s="9" t="inlineStr">
        <is>
          <t>← Select करें</t>
        </is>
      </c>
      <c r="F11" s="10">
        <f>IF(E11="नहीं — flat या simple forming",1,0)</f>
        <v/>
      </c>
      <c r="G11" s="11">
        <f>IF(E11="हाँ — deep draw / complex blister",1,0)</f>
        <v/>
      </c>
      <c r="H11" s="12" t="inlineStr">
        <is>
          <t>PETG lower temp पर thermoform होता है, fewer cracks</t>
        </is>
      </c>
    </row>
    <row r="12" ht="30" customHeight="1">
      <c r="B12" s="13" t="n"/>
      <c r="C12" s="7" t="n">
        <v>8</v>
      </c>
      <c r="D12" s="14" t="inlineStr">
        <is>
          <t>क्या product cold chain / frozen में रहेगा?</t>
        </is>
      </c>
      <c r="E12" s="9" t="inlineStr">
        <is>
          <t>← Select करें</t>
        </is>
      </c>
      <c r="F12" s="10">
        <f>IF(E12="नहीं — ambient storage",1,0)</f>
        <v/>
      </c>
      <c r="G12" s="11">
        <f>IF(E12="हाँ — cold / frozen storage",1,0)</f>
        <v/>
      </c>
      <c r="H12" s="15" t="inlineStr">
        <is>
          <t>PETG cold में flexible रहता है; PET brittle हो सकता है</t>
        </is>
      </c>
    </row>
    <row r="13" ht="30" customHeight="1">
      <c r="B13" s="6" t="n"/>
      <c r="C13" s="7" t="n">
        <v>9</v>
      </c>
      <c r="D13" s="8" t="inlineStr">
        <is>
          <t>क्या lowest cost per kg primary factor है?</t>
        </is>
      </c>
      <c r="E13" s="9" t="inlineStr">
        <is>
          <t>← Select करें</t>
        </is>
      </c>
      <c r="F13" s="10">
        <f>IF(E13="हाँ — cost primary है",1,0)</f>
        <v/>
      </c>
      <c r="G13" s="11">
        <f>IF(E13="नहीं — performance priority है",1,0)</f>
        <v/>
      </c>
      <c r="H13" s="12" t="inlineStr">
        <is>
          <t>PET, PETG से 10-20% per kg सस्ता है</t>
        </is>
      </c>
    </row>
    <row r="14" ht="30" customHeight="1">
      <c r="B14" s="13" t="n"/>
      <c r="C14" s="7" t="n">
        <v>10</v>
      </c>
      <c r="D14" s="14" t="inlineStr">
        <is>
          <t>क्या Resin #1 recyclability priority है?</t>
        </is>
      </c>
      <c r="E14" s="9" t="inlineStr">
        <is>
          <t>← Select करें</t>
        </is>
      </c>
      <c r="F14" s="10">
        <f>IF(E14="हाँ — widely recycled preferred",1,0)</f>
        <v/>
      </c>
      <c r="G14" s="11">
        <f>IF(E14="नहीं — performance over recyclability",1,0)</f>
        <v/>
      </c>
      <c r="H14" s="15" t="inlineStr">
        <is>
          <t>दोनों Resin #1; PET recycling India में ज़्यादा established</t>
        </is>
      </c>
    </row>
    <row r="16" ht="32" customHeight="1">
      <c r="B16" s="16" t="inlineStr">
        <is>
          <t>TOTAL SCORE (10 में से)</t>
        </is>
      </c>
      <c r="F16" s="17">
        <f>SUM(F5:F14)</f>
        <v/>
      </c>
      <c r="G16" s="18">
        <f>SUM(G5:G14)</f>
        <v/>
      </c>
    </row>
    <row r="17" ht="22" customHeight="1">
      <c r="B17" s="6" t="n"/>
      <c r="F17" s="19" t="inlineStr">
        <is>
          <t>← PET score</t>
        </is>
      </c>
      <c r="G17" s="20" t="inlineStr">
        <is>
          <t>← PETG score</t>
        </is>
      </c>
    </row>
    <row r="19" ht="44" customHeight="1">
      <c r="B19" s="21">
        <f>IF(F16&gt;G16,"✅  RECOMMENDATION: PET / BOPET — आपका application rigid, high-barrier, heat-resistant film के लिए है।",IF(G16&gt;F16,"✅  RECOMMENDATION: PETG — आपका application flexible, shrinkable, high-clarity film के लिए है।","⚡  TIED — Film supplier से discuss करें। दोनों materials suit कर सकते हैं।"))</f>
        <v/>
      </c>
    </row>
    <row r="21" ht="22" customHeight="1">
      <c r="B21" s="22" t="inlineStr">
        <is>
          <t>⚠  Starting recommendation only। हमेशा film supplier और technical team से validate करें।</t>
        </is>
      </c>
    </row>
    <row r="22" ht="18" customHeight="1">
      <c r="B22" s="23" t="inlineStr">
        <is>
          <t>vkstech.com  |  Vivek Kumar  |  M.Tech NIT Uttarakhand  |  9+ Years Flexible Packaging  |  Blog #43</t>
        </is>
      </c>
    </row>
  </sheetData>
  <mergeCells count="8">
    <mergeCell ref="B22:H22"/>
    <mergeCell ref="B17:E17"/>
    <mergeCell ref="B21:H21"/>
    <mergeCell ref="D1:H1"/>
    <mergeCell ref="B16:E16"/>
    <mergeCell ref="B2:H2"/>
    <mergeCell ref="B3:H3"/>
    <mergeCell ref="B19:H19"/>
  </mergeCells>
  <dataValidations count="10">
    <dataValidation sqref="E5" showDropDown="0" showInputMessage="0" showErrorMessage="0" allowBlank="1" type="list">
      <formula1>"नहीं — flat film only","हाँ — shrink sleeve या band"</formula1>
    </dataValidation>
    <dataValidation sqref="E6" showDropDown="0" showInputMessage="0" showErrorMessage="0" allowBlank="1" type="list">
      <formula1>"70°C से नीचे","70-80°C","80°C से ऊपर (hot-fill / retort)"</formula1>
    </dataValidation>
    <dataValidation sqref="E7" showDropDown="0" showInputMessage="0" showErrorMessage="0" allowBlank="1" type="list">
      <formula1>"हाँ — metallisable होना ज़रूरी","नहीं — ज़रूरत नहीं"</formula1>
    </dataValidation>
    <dataValidation sqref="E8" showDropDown="0" showInputMessage="0" showErrorMessage="0" allowBlank="1" type="list">
      <formula1>"हाँ — lamination web","नहीं — दूसरा application"</formula1>
    </dataValidation>
    <dataValidation sqref="E9" showDropDown="0" showInputMessage="0" showErrorMessage="0" allowBlank="1" type="list">
      <formula1>"Standard transparency ठीक है","Maximum glass-like clarity ज़रूरी"</formula1>
    </dataValidation>
    <dataValidation sqref="E10" showDropDown="0" showInputMessage="0" showErrorMessage="0" allowBlank="1" type="list">
      <formula1>"हाँ — long shelf-life food / pharma","नहीं — flexibility या clarity priority"</formula1>
    </dataValidation>
    <dataValidation sqref="E11" showDropDown="0" showInputMessage="0" showErrorMessage="0" allowBlank="1" type="list">
      <formula1>"नहीं — flat या simple forming","हाँ — deep draw / complex blister"</formula1>
    </dataValidation>
    <dataValidation sqref="E12" showDropDown="0" showInputMessage="0" showErrorMessage="0" allowBlank="1" type="list">
      <formula1>"नहीं — ambient storage","हाँ — cold / frozen storage"</formula1>
    </dataValidation>
    <dataValidation sqref="E13" showDropDown="0" showInputMessage="0" showErrorMessage="0" allowBlank="1" type="list">
      <formula1>"हाँ — cost primary है","नहीं — performance priority है"</formula1>
    </dataValidation>
    <dataValidation sqref="E14" showDropDown="0" showInputMessage="0" showErrorMessage="0" allowBlank="1" type="list">
      <formula1>"हाँ — widely recycled preferred","नहीं — performance over recyclability"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2026-05-12T07:19:07Z</dcterms:created>
  <dcterms:modified xmlns:dcterms="http://purl.org/dc/terms/" xmlns:xsi="http://www.w3.org/2001/XMLSchema-instance" xsi:type="dcterms:W3CDTF">2026-05-12T07:19:07Z</dcterms:modified>
</cp:coreProperties>
</file>