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Optimiser" sheetId="1" state="visible" r:id="rId3"/>
  </sheets>
  <definedNames>
    <definedName function="false" hidden="false" localSheetId="0" name="_xlnm.Print_Titles" vbProcedure="false">'Cost Optimiser'!$1:$4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<sst xmlns="http://schemas.openxmlformats.org/spreadsheetml/2006/main" count="39" uniqueCount="32">
  <si>
    <t xml:space="preserve">⚙ FREE INDUSTRIAL TOOLKIT — METALLISER &amp; r-PET TOOLS</t>
  </si>
  <si>
    <t xml:space="preserve">VKS TECH</t>
  </si>
  <si>
    <t xml:space="preserve">🌐 https://vksTech.com</t>
  </si>
  <si>
    <t xml:space="preserve">Vivek Kumar (Privacy Papa) · M.Tech NIT Uttarakhand · 9+ Yrs Flexible Packaging  |  Doc Ref: VKS/MET/RPET/03</t>
  </si>
  <si>
    <t xml:space="preserve">💰 COST-vs-PCR HYBRID OPTIMISATION CALCULATOR</t>
  </si>
  <si>
    <t xml:space="preserve">PCR Hybrid Optimisation — कितना physical r-PET vs कितने certificates</t>
  </si>
  <si>
    <t xml:space="preserve">📥 INPUTS</t>
  </si>
  <si>
    <t xml:space="preserve">1. Annual Cat II flexible production / वार्षिक production (tonnes)</t>
  </si>
  <si>
    <t xml:space="preserve">tonnes</t>
  </si>
  <si>
    <t xml:space="preserve">2. PCR target % for current FY / वर्तमान FY का PCR target</t>
  </si>
  <si>
    <t xml:space="preserve">%</t>
  </si>
  <si>
    <t xml:space="preserve">3. Virgin PET cost / Virgin PET लागत (₹/kg)</t>
  </si>
  <si>
    <t xml:space="preserve">₹/kg</t>
  </si>
  <si>
    <t xml:space="preserve">4. Mechanical r-PET cost / Mech r-PET लागत (₹/kg)</t>
  </si>
  <si>
    <t xml:space="preserve">5. Chemical r-PET cost / Chem r-PET लागत (₹/kg)</t>
  </si>
  <si>
    <t xml:space="preserve">6. EPR certificate cost / EPR certificate (₹/kg)</t>
  </si>
  <si>
    <t xml:space="preserve">7. Max physical r-PET feasible / आपकी line में max physical r-PET (% of total)</t>
  </si>
  <si>
    <t xml:space="preserve">📊 SCENARIO COMPARISON — 4 strategies, lowest total cost wins</t>
  </si>
  <si>
    <t xml:space="preserve">Strategy / रणनीति</t>
  </si>
  <si>
    <t xml:space="preserve">Physical r-PET
(tonnes)</t>
  </si>
  <si>
    <t xml:space="preserve">Certificates
needed (tonnes)</t>
  </si>
  <si>
    <t xml:space="preserve">Material
cost (₹L)</t>
  </si>
  <si>
    <t xml:space="preserve">Certificate
cost (₹L)</t>
  </si>
  <si>
    <t xml:space="preserve">Total ₹L
(per year)</t>
  </si>
  <si>
    <t xml:space="preserve">A — All Certificates</t>
  </si>
  <si>
    <t xml:space="preserve">0</t>
  </si>
  <si>
    <t xml:space="preserve">B — Max Mech r-PET + Certs</t>
  </si>
  <si>
    <t xml:space="preserve">C — Chemical r-PET (full target)</t>
  </si>
  <si>
    <t xml:space="preserve">D — Half Mech / Half Certs</t>
  </si>
  <si>
    <t xml:space="preserve">📌 IMPORTANT CAVEATS: (1) Cost optimisation is NOT the only factor. Brand customers may demand physical PCR for sustainability claims regardless of cost. (2) Certificate prices are volatile (₹6-20/kg range for Cat II); plan for ±30% swings. (3) Physical r-PET availability is constrained — even if cheaper, suppliers may not have stock. (4) Pure certificate strategies face regulatory scrutiny — CPCB may tighten rules. (5) Hybrid (Strategy B/D) is usually safest: some physical proves intent, some certs cover the gap. (6) Above your "max physical r-PET" feasible % requires line trial first.</t>
  </si>
  <si>
    <t xml:space="preserve">⚙ Built by a plant engineer for plant engineers — bilingual, free, and made for the floor.</t>
  </si>
  <si>
    <t xml:space="preserve">🌐 Visit https://vksTech.com  for more free formats, calculators, and training tools  |  © VKS TECH — Vivek Kumar  |  Share freely, do not resell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</si>
</sst>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"/>
    <numFmt numFmtId="167" formatCode="#,##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1A274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A2744"/>
      <name val="Arial"/>
      <family val="0"/>
      <charset val="1"/>
    </font>
    <font>
      <b val="true"/>
      <sz val="14"/>
      <color rgb="FF1A2744"/>
      <name val="Arial"/>
      <family val="0"/>
      <charset val="1"/>
    </font>
    <font>
      <b val="true"/>
      <sz val="11"/>
      <color rgb="FFE85D26"/>
      <name val="Arial"/>
      <family val="0"/>
      <charset val="1"/>
    </font>
    <font>
      <b val="true"/>
      <sz val="10"/>
      <color rgb="FF1A2744"/>
      <name val="Arial"/>
      <family val="0"/>
      <charset val="1"/>
    </font>
    <font>
      <sz val="11"/>
      <color rgb="FF1A2744"/>
      <name val="Arial"/>
      <family val="0"/>
      <charset val="1"/>
    </font>
    <font>
      <i val="true"/>
      <sz val="10"/>
      <color rgb="FF0D8C7E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AF0"/>
      </patternFill>
    </fill>
    <fill>
      <patternFill patternType="solid">
        <fgColor rgb="FFE85D26"/>
        <bgColor rgb="FFFF8080"/>
      </patternFill>
    </fill>
    <fill>
      <patternFill patternType="solid">
        <fgColor rgb="FF1A2744"/>
        <bgColor rgb="FF003366"/>
      </patternFill>
    </fill>
    <fill>
      <patternFill patternType="solid">
        <fgColor rgb="FF0D8C7E"/>
        <bgColor rgb="FF008080"/>
      </patternFill>
    </fill>
    <fill>
      <patternFill patternType="solid">
        <fgColor rgb="FFF4EDE2"/>
        <bgColor rgb="FFE8EBF1"/>
      </patternFill>
    </fill>
    <fill>
      <patternFill patternType="solid">
        <fgColor rgb="FFFFF8E5"/>
        <bgColor rgb="FFFFFAF0"/>
      </patternFill>
    </fill>
    <fill>
      <patternFill patternType="solid">
        <fgColor rgb="FFE8EBF1"/>
        <bgColor rgb="FFF4EDE2"/>
      </patternFill>
    </fill>
    <fill>
      <patternFill patternType="solid">
        <fgColor rgb="FFFFFAF0"/>
        <bgColor rgb="FFFFF8E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 diagonalUp="false" diagonalDown="false">
      <left style="thin">
        <color rgb="FF888888"/>
      </left>
      <right/>
      <top style="thin">
        <color rgb="FF888888"/>
      </top>
      <bottom style="thin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8C7E"/>
      <rgbColor rgb="FFC0C0C0"/>
      <rgbColor rgb="FF888888"/>
      <rgbColor rgb="FF9999FF"/>
      <rgbColor rgb="FF993366"/>
      <rgbColor rgb="FFFFF8E5"/>
      <rgbColor rgb="FFE8EB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AF0"/>
      <rgbColor rgb="FFF4EDE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5D26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7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742680</xdr:colOff>
      <xdr:row>2</xdr:row>
      <xdr:rowOff>190080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742680" cy="742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3"/>
  </cols>
  <sheetData>
    <row r="1" customFormat="false" ht="18" hidden="false" customHeight="true" outlineLevel="0" collapsed="false">
      <c r="A1" s="1"/>
      <c r="B1" s="2" t="s">
        <v>0</v>
      </c>
      <c r="C1" s="2"/>
      <c r="D1" s="2"/>
      <c r="E1" s="2"/>
      <c r="F1" s="2"/>
    </row>
    <row r="2" customFormat="false" ht="25.5" hidden="false" customHeight="true" outlineLevel="0" collapsed="false">
      <c r="A2" s="1"/>
      <c r="B2" s="3" t="s">
        <v>1</v>
      </c>
      <c r="C2" s="3"/>
      <c r="D2" s="3"/>
      <c r="E2" s="3"/>
      <c r="F2" s="3"/>
    </row>
    <row r="3" customFormat="false" ht="21.75" hidden="false" customHeight="true" outlineLevel="0" collapsed="false">
      <c r="A3" s="1"/>
      <c r="B3" s="4" t="s">
        <v>2</v>
      </c>
      <c r="C3" s="4"/>
      <c r="D3" s="4"/>
      <c r="E3" s="4"/>
      <c r="F3" s="4"/>
    </row>
    <row r="4" customFormat="false" ht="15.75" hidden="false" customHeight="true" outlineLevel="0" collapsed="false">
      <c r="A4" s="1"/>
      <c r="B4" s="5" t="s">
        <v>3</v>
      </c>
      <c r="C4" s="5"/>
      <c r="D4" s="5"/>
      <c r="E4" s="5"/>
      <c r="F4" s="5"/>
    </row>
    <row r="5" customFormat="false" ht="6" hidden="false" customHeight="true" outlineLevel="0" collapsed="false"/>
    <row r="6" customFormat="false" ht="27.75" hidden="false" customHeight="true" outlineLevel="0" collapsed="false">
      <c r="A6" s="6" t="s">
        <v>4</v>
      </c>
      <c r="B6" s="6"/>
      <c r="C6" s="6"/>
      <c r="D6" s="6"/>
      <c r="E6" s="6"/>
      <c r="F6" s="6"/>
    </row>
    <row r="7" customFormat="false" ht="21.75" hidden="false" customHeight="true" outlineLevel="0" collapsed="false">
      <c r="A7" s="7" t="s">
        <v>5</v>
      </c>
      <c r="B7" s="7"/>
      <c r="C7" s="7"/>
      <c r="D7" s="7"/>
      <c r="E7" s="7"/>
      <c r="F7" s="7"/>
    </row>
    <row r="9" customFormat="false" ht="24" hidden="false" customHeight="true" outlineLevel="0" collapsed="false">
      <c r="A9" s="8" t="s">
        <v>6</v>
      </c>
      <c r="B9" s="8"/>
      <c r="C9" s="8"/>
      <c r="D9" s="8"/>
      <c r="E9" s="8"/>
      <c r="F9" s="8"/>
    </row>
    <row r="10" customFormat="false" ht="27.75" hidden="false" customHeight="true" outlineLevel="0" collapsed="false">
      <c r="A10" s="9" t="s">
        <v>7</v>
      </c>
      <c r="B10" s="9"/>
      <c r="C10" s="9"/>
      <c r="D10" s="9"/>
      <c r="E10" s="10" t="n">
        <v>1000</v>
      </c>
      <c r="F10" s="11" t="s">
        <v>8</v>
      </c>
    </row>
    <row r="11" customFormat="false" ht="27.75" hidden="false" customHeight="true" outlineLevel="0" collapsed="false">
      <c r="A11" s="9" t="s">
        <v>9</v>
      </c>
      <c r="B11" s="9"/>
      <c r="C11" s="9"/>
      <c r="D11" s="9"/>
      <c r="E11" s="12" t="n">
        <v>10</v>
      </c>
      <c r="F11" s="11" t="s">
        <v>10</v>
      </c>
    </row>
    <row r="12" customFormat="false" ht="27.75" hidden="false" customHeight="true" outlineLevel="0" collapsed="false">
      <c r="A12" s="9" t="s">
        <v>11</v>
      </c>
      <c r="B12" s="9"/>
      <c r="C12" s="9"/>
      <c r="D12" s="9"/>
      <c r="E12" s="10" t="n">
        <v>110</v>
      </c>
      <c r="F12" s="11" t="s">
        <v>12</v>
      </c>
    </row>
    <row r="13" customFormat="false" ht="27.75" hidden="false" customHeight="true" outlineLevel="0" collapsed="false">
      <c r="A13" s="9" t="s">
        <v>13</v>
      </c>
      <c r="B13" s="9"/>
      <c r="C13" s="9"/>
      <c r="D13" s="9"/>
      <c r="E13" s="10" t="n">
        <v>95</v>
      </c>
      <c r="F13" s="11" t="s">
        <v>12</v>
      </c>
    </row>
    <row r="14" customFormat="false" ht="27.75" hidden="false" customHeight="true" outlineLevel="0" collapsed="false">
      <c r="A14" s="9" t="s">
        <v>14</v>
      </c>
      <c r="B14" s="9"/>
      <c r="C14" s="9"/>
      <c r="D14" s="9"/>
      <c r="E14" s="10" t="n">
        <v>165</v>
      </c>
      <c r="F14" s="11" t="s">
        <v>12</v>
      </c>
    </row>
    <row r="15" customFormat="false" ht="27.75" hidden="false" customHeight="true" outlineLevel="0" collapsed="false">
      <c r="A15" s="9" t="s">
        <v>15</v>
      </c>
      <c r="B15" s="9"/>
      <c r="C15" s="9"/>
      <c r="D15" s="9"/>
      <c r="E15" s="10" t="n">
        <v>12</v>
      </c>
      <c r="F15" s="11" t="s">
        <v>12</v>
      </c>
    </row>
    <row r="16" customFormat="false" ht="27.75" hidden="false" customHeight="true" outlineLevel="0" collapsed="false">
      <c r="A16" s="9" t="s">
        <v>16</v>
      </c>
      <c r="B16" s="9"/>
      <c r="C16" s="9"/>
      <c r="D16" s="9"/>
      <c r="E16" s="12" t="n">
        <v>15</v>
      </c>
      <c r="F16" s="11" t="s">
        <v>10</v>
      </c>
    </row>
    <row r="18" customFormat="false" ht="25.5" hidden="false" customHeight="true" outlineLevel="0" collapsed="false">
      <c r="A18" s="13" t="s">
        <v>17</v>
      </c>
      <c r="B18" s="13"/>
      <c r="C18" s="13"/>
      <c r="D18" s="13"/>
      <c r="E18" s="13"/>
      <c r="F18" s="13"/>
    </row>
    <row r="19" customFormat="false" ht="36" hidden="false" customHeight="true" outlineLevel="0" collapsed="false">
      <c r="A19" s="14" t="s">
        <v>18</v>
      </c>
      <c r="B19" s="14" t="s">
        <v>19</v>
      </c>
      <c r="C19" s="14" t="s">
        <v>20</v>
      </c>
      <c r="D19" s="14" t="s">
        <v>21</v>
      </c>
      <c r="E19" s="14" t="s">
        <v>22</v>
      </c>
      <c r="F19" s="14" t="s">
        <v>23</v>
      </c>
    </row>
    <row r="20" customFormat="false" ht="27.75" hidden="false" customHeight="true" outlineLevel="0" collapsed="false">
      <c r="A20" s="15" t="s">
        <v>24</v>
      </c>
      <c r="B20" s="16" t="s">
        <v>25</v>
      </c>
      <c r="C20" s="16" t="n">
        <f aca="false">E10*E11/100</f>
        <v>100</v>
      </c>
      <c r="D20" s="16" t="s">
        <v>25</v>
      </c>
      <c r="E20" s="16" t="n">
        <f aca="false">E10*E11/100*1000*E15/100000</f>
        <v>12</v>
      </c>
      <c r="F20" s="17" t="n">
        <f aca="false">D20+E20</f>
        <v>12</v>
      </c>
    </row>
    <row r="21" customFormat="false" ht="27.75" hidden="false" customHeight="true" outlineLevel="0" collapsed="false">
      <c r="A21" s="15" t="s">
        <v>26</v>
      </c>
      <c r="B21" s="16" t="n">
        <f aca="false">E10*MIN(E16,E11)/100</f>
        <v>100</v>
      </c>
      <c r="C21" s="16" t="n">
        <f aca="false">MAX(E10*(E11-MIN(E16,E11))/100,0)</f>
        <v>0</v>
      </c>
      <c r="D21" s="16" t="n">
        <f aca="false">E10*MIN(E16,E11)/100*1000*(E13-E12)/100000</f>
        <v>-15</v>
      </c>
      <c r="E21" s="16" t="n">
        <f aca="false">MAX(E10*(E11-MIN(E16,E11))/100,0)*1000*E15/100000</f>
        <v>0</v>
      </c>
      <c r="F21" s="17" t="n">
        <f aca="false">D21+E21</f>
        <v>-15</v>
      </c>
    </row>
    <row r="22" customFormat="false" ht="27.75" hidden="false" customHeight="true" outlineLevel="0" collapsed="false">
      <c r="A22" s="15" t="s">
        <v>27</v>
      </c>
      <c r="B22" s="16" t="n">
        <f aca="false">E10*E11/100</f>
        <v>100</v>
      </c>
      <c r="C22" s="16" t="s">
        <v>25</v>
      </c>
      <c r="D22" s="16" t="n">
        <f aca="false">E10*E11/100*1000*(E14-E12)/100000</f>
        <v>55</v>
      </c>
      <c r="E22" s="16" t="s">
        <v>25</v>
      </c>
      <c r="F22" s="17" t="n">
        <f aca="false">D22+E22</f>
        <v>55</v>
      </c>
    </row>
    <row r="23" customFormat="false" ht="27.75" hidden="false" customHeight="true" outlineLevel="0" collapsed="false">
      <c r="A23" s="15" t="s">
        <v>28</v>
      </c>
      <c r="B23" s="16" t="n">
        <f aca="false">E10*E11/100/2</f>
        <v>50</v>
      </c>
      <c r="C23" s="16" t="n">
        <f aca="false">E10*E11/100/2</f>
        <v>50</v>
      </c>
      <c r="D23" s="16" t="n">
        <f aca="false">E10*E11/100/2*1000*(E13-E12)/100000</f>
        <v>-7.5</v>
      </c>
      <c r="E23" s="16" t="n">
        <f aca="false">E10*E11/100/2*1000*E15/100000</f>
        <v>6</v>
      </c>
      <c r="F23" s="17" t="n">
        <f aca="false">D23+E23</f>
        <v>-1.5</v>
      </c>
    </row>
    <row r="25" customFormat="false" ht="36" hidden="false" customHeight="true" outlineLevel="0" collapsed="false">
      <c r="A25" s="18" t="str">
        <f aca="false">IF(F20=MIN(F20,F21,F22,F23),"💡 LOWEST COST: Strategy A — All Certificates ("&amp;TEXT(F20,"#,##0.0")&amp;" ₹L/yr)",IF(F21=MIN(F20,F21,F22,F23),"💡 LOWEST COST: Strategy B — Max Mech + Certs ("&amp;TEXT(F21,"#,##0.0")&amp;" ₹L/yr)",IF(F22=MIN(F20,F21,F22,F23),"💡 LOWEST COST: Strategy C — Chemical r-PET ("&amp;TEXT(F22,"#,##0.0")&amp;" ₹L/yr)","💡 LOWEST COST: Strategy D — Half/Half ("&amp;TEXT(F23,"#,##0.0")&amp;" ₹L/yr)")))</f>
        <v>💡 LOWEST COST: Strategy B — Max Mech + Certs (-15.0 ₹L/yr)</v>
      </c>
      <c r="B25" s="18"/>
      <c r="C25" s="18"/>
      <c r="D25" s="18"/>
      <c r="E25" s="18"/>
      <c r="F25" s="18"/>
    </row>
    <row r="27" customFormat="false" ht="79.5" hidden="false" customHeight="true" outlineLevel="0" collapsed="false">
      <c r="A27" s="19" t="s">
        <v>29</v>
      </c>
      <c r="B27" s="19"/>
      <c r="C27" s="19"/>
      <c r="D27" s="19"/>
      <c r="E27" s="19"/>
      <c r="F27" s="19"/>
    </row>
    <row r="29" customFormat="false" ht="3.75" hidden="false" customHeight="true" outlineLevel="0" collapsed="false">
      <c r="A29" s="20"/>
      <c r="B29" s="20"/>
      <c r="C29" s="20"/>
      <c r="D29" s="20"/>
      <c r="E29" s="20"/>
      <c r="F29" s="20"/>
    </row>
    <row r="30" customFormat="false" ht="19.5" hidden="false" customHeight="true" outlineLevel="0" collapsed="false">
      <c r="A30" s="21" t="s">
        <v>30</v>
      </c>
      <c r="B30" s="21"/>
      <c r="C30" s="21"/>
      <c r="D30" s="21"/>
      <c r="E30" s="21"/>
      <c r="F30" s="21"/>
    </row>
    <row r="31" customFormat="false" ht="21.75" hidden="false" customHeight="true" outlineLevel="0" collapsed="false">
      <c r="A31" s="22" t="s">
        <v>31</v>
      </c>
      <c r="B31" s="22"/>
      <c r="C31" s="22"/>
      <c r="D31" s="22"/>
      <c r="E31" s="22"/>
      <c r="F31" s="22"/>
    </row>
  </sheetData>
  <mergeCells count="21">
    <mergeCell ref="A1:A4"/>
    <mergeCell ref="B1:F1"/>
    <mergeCell ref="B2:F2"/>
    <mergeCell ref="B3:F3"/>
    <mergeCell ref="B4:F4"/>
    <mergeCell ref="A6:F6"/>
    <mergeCell ref="A7:F7"/>
    <mergeCell ref="A9:F9"/>
    <mergeCell ref="A10:D10"/>
    <mergeCell ref="A11:D11"/>
    <mergeCell ref="A12:D12"/>
    <mergeCell ref="A13:D13"/>
    <mergeCell ref="A14:D14"/>
    <mergeCell ref="A15:D15"/>
    <mergeCell ref="A16:D16"/>
    <mergeCell ref="A18:F18"/>
    <mergeCell ref="A25:F25"/>
    <mergeCell ref="A27:F27"/>
    <mergeCell ref="A29:F29"/>
    <mergeCell ref="A30:F30"/>
    <mergeCell ref="A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2026-05-04T04:07:29Z</dcterms:created>
  <dc:creator>openpyxl</dc:creator>
  <dc:description/>
  <dc:language>en-US</dc:language>
  <cp:lastModifiedBy/>
  <dcterms:modified xsi:type="dcterms:W3CDTF">2026-05-04T04:07:29Z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