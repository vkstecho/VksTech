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 निर्देश" sheetId="1" state="visible" r:id="rId3"/>
    <sheet name="2. Calculator" sheetId="2" state="visible" r:id="rId4"/>
  </sheets>
  <definedNames>
    <definedName function="false" hidden="false" localSheetId="1" name="_xlnm.Print_Titles" vbProcedure="false">'2. Calculator'!$1:$4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<sst xmlns="http://schemas.openxmlformats.org/spreadsheetml/2006/main" count="50" uniqueCount="44">
  <si>
    <t xml:space="preserve">⚙ FREE INDUSTRIAL TOOLKIT — METALLISER &amp; r-PET TOOLS</t>
  </si>
  <si>
    <t xml:space="preserve">VKS TECH</t>
  </si>
  <si>
    <t xml:space="preserve">🌐 https://vksTech.com</t>
  </si>
  <si>
    <t xml:space="preserve">Vivek Kumar (Privacy Papa) · M.Tech NIT Uttarakhand · 9+ Yrs Flexible Packaging  |  Doc Ref: VKS/MET/RPET/01</t>
  </si>
  <si>
    <t xml:space="preserve">📖 r-PET COMPATIBILITY CALCULATOR — HOW TO USE</t>
  </si>
  <si>
    <t xml:space="preserve">r-PET संगतता कैलकुलेटर — इस्तेमाल कैसे करें</t>
  </si>
  <si>
    <t xml:space="preserve">What this is / यह क्या है</t>
  </si>
  <si>
    <t xml:space="preserve">A predictive calculator that estimates how much your film properties will change when you blend mechanical or chemical r-PET into your line. Use BEFORE running an r-PET trial to set realistic expectations. / यह predictive calculator बताता है कि r-PET (mechanical या chemical) blend करने पर आपकी film properties कितनी बदलेंगी।</t>
  </si>
  <si>
    <t xml:space="preserve">How to use Tab 2 / Tab 2 कैसे use करें</t>
  </si>
  <si>
    <t xml:space="preserve">Enter 4 inputs: r-PET content %, type (mechanical or chemical), base film thickness (microns), and target film grade (standard or premium). The calculator outputs predicted IV drop, gel index, yellowness shift (b*), expected metalliser line speed adjustment, and an OD risk flag. / 4 inputs भरें: r-PET %, type (mechanical/chemical), film thickness (microns), film grade।</t>
  </si>
  <si>
    <t xml:space="preserve">What the predictions are based on / Predictions किस पर आधारित</t>
  </si>
  <si>
    <t xml:space="preserve">Industry-published data from PET film manufacturers (mechanical r-PET ≤30%, chemical r-PET 70-90%), peer-reviewed research on PET re-extrusion (IV drop, b* yellowness, gel formation), and operational data from metalliser lines. These are STARTING ESTIMATES — your line will need a trial to confirm. / Industry data, peer-reviewed research, और metalliser line data के आधार पर। आपकी line trial से confirm करें।</t>
  </si>
  <si>
    <t xml:space="preserve">Limits of this calculator / Calculator की सीमाएँ</t>
  </si>
  <si>
    <t xml:space="preserve">Estimates are for PET film only (BOPP/CPP/PE r-grades behave differently). Above 30% mechanical r-PET, predictions become highly variable — film property degradation accelerates non-linearly. Always run a small-batch trial before locking a recipe. / केवल PET film के लिए। 30% से ऊपर mechanical r-PET पर predictions variable। Trial ज़रूरी।</t>
  </si>
  <si>
    <t xml:space="preserve">⚠ Important disclaimer / महत्वपूर्ण disclaimer</t>
  </si>
  <si>
    <t xml:space="preserve">This is an estimation tool for planning, NOT a quality-release tool. Final decisions must be based on your line trial results and supplier CoA (Certificate of Analysis). / यह planning के लिए estimation tool है, quality-release के लिए नहीं। Final decision trial और supplier CoA पर।</t>
  </si>
  <si>
    <t xml:space="preserve">⚙ Built by a plant engineer for plant engineers — bilingual, free, and made for the floor.</t>
  </si>
  <si>
    <t xml:space="preserve">🌐 Visit https://vksTech.com  for more free formats, calculators, and training tools  |  © VKS TECH — Vivek Kumar  |  Share freely, do not resell</t>
  </si>
  <si>
    <t xml:space="preserve">Vivek Kumar (Privacy Papa) · M.Tech NIT Uttarakhand · 9+ Yrs Flexible Packaging  |  Doc Ref: VKS/MET/RPET/01-T2</t>
  </si>
  <si>
    <t xml:space="preserve">🔬 r-PET COMPATIBILITY CALCULATOR</t>
  </si>
  <si>
    <t xml:space="preserve">r-PET संगतता कैलकुलेटर — Inputs भरें, Predictions देखें</t>
  </si>
  <si>
    <t xml:space="preserve">📥 INPUTS — आपके planned r-PET use का data भरें</t>
  </si>
  <si>
    <t xml:space="preserve">1. r-PET content (%) / r-PET सामग्री</t>
  </si>
  <si>
    <t xml:space="preserve">%</t>
  </si>
  <si>
    <t xml:space="preserve">How much recycled PET by weight in the film (5-90%) / Film में कितना recycled PET (5-90%)</t>
  </si>
  <si>
    <t xml:space="preserve">2. r-PET type / r-PET प्रकार</t>
  </si>
  <si>
    <t xml:space="preserve">Mechanical</t>
  </si>
  <si>
    <t xml:space="preserve">Mechanical (≤30% practical) or Chemical (≤90%) / Mechanical या Chemical</t>
  </si>
  <si>
    <t xml:space="preserve">3. Base film thickness (µ) / Film मोटाई</t>
  </si>
  <si>
    <t xml:space="preserve">µ</t>
  </si>
  <si>
    <t xml:space="preserve">Typical metalliser PET: 8, 10, 12, 15, 18, 23 / सामान्य metalliser PET</t>
  </si>
  <si>
    <t xml:space="preserve">4. Target film grade / Target film grade</t>
  </si>
  <si>
    <t xml:space="preserve">Standard</t>
  </si>
  <si>
    <t xml:space="preserve">Standard (general lamination) or Premium (transparent food/pharma) / Standard या Premium</t>
  </si>
  <si>
    <t xml:space="preserve">📊 PREDICTIONS — आपकी line से expected behavior</t>
  </si>
  <si>
    <t xml:space="preserve">Predicted IV drop / IV में गिरावट</t>
  </si>
  <si>
    <t xml:space="preserve">dL/g</t>
  </si>
  <si>
    <t xml:space="preserve">Predicted gel count / Gel संख्या</t>
  </si>
  <si>
    <t xml:space="preserve">gels/m²</t>
  </si>
  <si>
    <t xml:space="preserve">Yellowness b* shift / Yellow tinge</t>
  </si>
  <si>
    <t xml:space="preserve">b* units</t>
  </si>
  <si>
    <t xml:space="preserve">Line speed reduction / Line speed कमी</t>
  </si>
  <si>
    <t xml:space="preserve">Optical density risk / OD जोखिम</t>
  </si>
  <si>
    <t xml:space="preserve">📌 Predictions based on industry-published data: Mechanical r-PET ≤30% practical limit (gels, IV drop, yellowness); Chemical r-PET ≤90% (near-virgin properties). Coefficients: IV drop ~0.04 dL/g per 30% mech / negligible for chem; b* yellowness +0.1/% mech / +0.01/% chem; gel formation +0.33/% mech / +0.05/% chem; line speed reduction ~5% per 30% mech / ~0.6% per 30% chem. Sources: Celplast Metallized Products, peer-reviewed PET re-extrusion studies. ALWAYS confirm with a line trial.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</si>
</sst>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0"/>
    <numFmt numFmtId="167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1A274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1A2744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A2744"/>
      <name val="Arial"/>
      <family val="0"/>
      <charset val="1"/>
    </font>
    <font>
      <b val="true"/>
      <sz val="11"/>
      <color rgb="FFE85D2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1A2744"/>
      <name val="Arial"/>
      <family val="0"/>
      <charset val="1"/>
    </font>
    <font>
      <i val="true"/>
      <sz val="9"/>
      <color rgb="FF0D8C7E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AF0"/>
      </patternFill>
    </fill>
    <fill>
      <patternFill patternType="solid">
        <fgColor rgb="FFE85D26"/>
        <bgColor rgb="FFFF8080"/>
      </patternFill>
    </fill>
    <fill>
      <patternFill patternType="solid">
        <fgColor rgb="FF1A2744"/>
        <bgColor rgb="FF003366"/>
      </patternFill>
    </fill>
    <fill>
      <patternFill patternType="solid">
        <fgColor rgb="FF0D8C7E"/>
        <bgColor rgb="FF008080"/>
      </patternFill>
    </fill>
    <fill>
      <patternFill patternType="solid">
        <fgColor rgb="FFF4EDE2"/>
        <bgColor rgb="FFE8EBF1"/>
      </patternFill>
    </fill>
    <fill>
      <patternFill patternType="solid">
        <fgColor rgb="FFFFF8E5"/>
        <bgColor rgb="FFFFFAF0"/>
      </patternFill>
    </fill>
    <fill>
      <patternFill patternType="solid">
        <fgColor rgb="FFE8EBF1"/>
        <bgColor rgb="FFF4EDE2"/>
      </patternFill>
    </fill>
    <fill>
      <patternFill patternType="solid">
        <fgColor rgb="FFFFFAF0"/>
        <bgColor rgb="FFFFF8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8C7E"/>
      <rgbColor rgb="FFC0C0C0"/>
      <rgbColor rgb="FF888888"/>
      <rgbColor rgb="FF9999FF"/>
      <rgbColor rgb="FF993366"/>
      <rgbColor rgb="FFFFF8E5"/>
      <rgbColor rgb="FFE8EB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AF0"/>
      <rgbColor rgb="FFF4EDE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D26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742680</xdr:colOff>
      <xdr:row>2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742680" cy="742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742680</xdr:colOff>
      <xdr:row>2</xdr:row>
      <xdr:rowOff>190080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742680" cy="742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8" hidden="false" customHeight="true" outlineLevel="0" collapsed="false">
      <c r="A1" s="1"/>
      <c r="B1" s="2" t="s">
        <v>0</v>
      </c>
      <c r="C1" s="2"/>
      <c r="D1" s="2"/>
      <c r="E1" s="2"/>
      <c r="F1" s="2"/>
    </row>
    <row r="2" customFormat="false" ht="25.5" hidden="false" customHeight="true" outlineLevel="0" collapsed="false">
      <c r="A2" s="1"/>
      <c r="B2" s="3" t="s">
        <v>1</v>
      </c>
      <c r="C2" s="3"/>
      <c r="D2" s="3"/>
      <c r="E2" s="3"/>
      <c r="F2" s="3"/>
    </row>
    <row r="3" customFormat="false" ht="21.75" hidden="false" customHeight="true" outlineLevel="0" collapsed="false">
      <c r="A3" s="1"/>
      <c r="B3" s="4" t="s">
        <v>2</v>
      </c>
      <c r="C3" s="4"/>
      <c r="D3" s="4"/>
      <c r="E3" s="4"/>
      <c r="F3" s="4"/>
    </row>
    <row r="4" customFormat="false" ht="15.75" hidden="false" customHeight="true" outlineLevel="0" collapsed="false">
      <c r="A4" s="1"/>
      <c r="B4" s="5" t="s">
        <v>3</v>
      </c>
      <c r="C4" s="5"/>
      <c r="D4" s="5"/>
      <c r="E4" s="5"/>
      <c r="F4" s="5"/>
    </row>
    <row r="5" customFormat="false" ht="6" hidden="false" customHeight="true" outlineLevel="0" collapsed="false"/>
    <row r="6" customFormat="false" ht="30" hidden="false" customHeight="true" outlineLevel="0" collapsed="false">
      <c r="A6" s="6" t="s">
        <v>4</v>
      </c>
      <c r="B6" s="6"/>
      <c r="C6" s="6"/>
      <c r="D6" s="6"/>
      <c r="E6" s="6"/>
      <c r="F6" s="6"/>
    </row>
    <row r="7" customFormat="false" ht="24" hidden="false" customHeight="true" outlineLevel="0" collapsed="false">
      <c r="A7" s="7" t="s">
        <v>5</v>
      </c>
      <c r="B7" s="7"/>
      <c r="C7" s="7"/>
      <c r="D7" s="7"/>
      <c r="E7" s="7"/>
      <c r="F7" s="7"/>
    </row>
    <row r="9" customFormat="false" ht="15" hidden="false" customHeight="true" outlineLevel="0" collapsed="false">
      <c r="A9" s="8" t="s">
        <v>6</v>
      </c>
      <c r="B9" s="8"/>
      <c r="C9" s="8"/>
      <c r="D9" s="8"/>
      <c r="E9" s="8"/>
      <c r="F9" s="8"/>
    </row>
    <row r="10" customFormat="false" ht="60" hidden="false" customHeight="true" outlineLevel="0" collapsed="false">
      <c r="A10" s="9" t="s">
        <v>7</v>
      </c>
      <c r="B10" s="9"/>
      <c r="C10" s="9"/>
      <c r="D10" s="9"/>
      <c r="E10" s="9"/>
      <c r="F10" s="9"/>
    </row>
    <row r="12" customFormat="false" ht="15" hidden="false" customHeight="true" outlineLevel="0" collapsed="false">
      <c r="A12" s="8" t="s">
        <v>8</v>
      </c>
      <c r="B12" s="8"/>
      <c r="C12" s="8"/>
      <c r="D12" s="8"/>
      <c r="E12" s="8"/>
      <c r="F12" s="8"/>
    </row>
    <row r="13" customFormat="false" ht="60" hidden="false" customHeight="true" outlineLevel="0" collapsed="false">
      <c r="A13" s="9" t="s">
        <v>9</v>
      </c>
      <c r="B13" s="9"/>
      <c r="C13" s="9"/>
      <c r="D13" s="9"/>
      <c r="E13" s="9"/>
      <c r="F13" s="9"/>
    </row>
    <row r="15" customFormat="false" ht="15" hidden="false" customHeight="true" outlineLevel="0" collapsed="false">
      <c r="A15" s="8" t="s">
        <v>10</v>
      </c>
      <c r="B15" s="8"/>
      <c r="C15" s="8"/>
      <c r="D15" s="8"/>
      <c r="E15" s="8"/>
      <c r="F15" s="8"/>
    </row>
    <row r="16" customFormat="false" ht="60" hidden="false" customHeight="true" outlineLevel="0" collapsed="false">
      <c r="A16" s="9" t="s">
        <v>11</v>
      </c>
      <c r="B16" s="9"/>
      <c r="C16" s="9"/>
      <c r="D16" s="9"/>
      <c r="E16" s="9"/>
      <c r="F16" s="9"/>
    </row>
    <row r="18" customFormat="false" ht="15" hidden="false" customHeight="true" outlineLevel="0" collapsed="false">
      <c r="A18" s="8" t="s">
        <v>12</v>
      </c>
      <c r="B18" s="8"/>
      <c r="C18" s="8"/>
      <c r="D18" s="8"/>
      <c r="E18" s="8"/>
      <c r="F18" s="8"/>
    </row>
    <row r="19" customFormat="false" ht="60" hidden="false" customHeight="true" outlineLevel="0" collapsed="false">
      <c r="A19" s="9" t="s">
        <v>13</v>
      </c>
      <c r="B19" s="9"/>
      <c r="C19" s="9"/>
      <c r="D19" s="9"/>
      <c r="E19" s="9"/>
      <c r="F19" s="9"/>
    </row>
    <row r="21" customFormat="false" ht="15" hidden="false" customHeight="true" outlineLevel="0" collapsed="false">
      <c r="A21" s="8" t="s">
        <v>14</v>
      </c>
      <c r="B21" s="8"/>
      <c r="C21" s="8"/>
      <c r="D21" s="8"/>
      <c r="E21" s="8"/>
      <c r="F21" s="8"/>
    </row>
    <row r="22" customFormat="false" ht="60" hidden="false" customHeight="true" outlineLevel="0" collapsed="false">
      <c r="A22" s="9" t="s">
        <v>15</v>
      </c>
      <c r="B22" s="9"/>
      <c r="C22" s="9"/>
      <c r="D22" s="9"/>
      <c r="E22" s="9"/>
      <c r="F22" s="9"/>
    </row>
    <row r="26" customFormat="false" ht="3.75" hidden="false" customHeight="true" outlineLevel="0" collapsed="false">
      <c r="A26" s="10"/>
      <c r="B26" s="10"/>
      <c r="C26" s="10"/>
      <c r="D26" s="10"/>
      <c r="E26" s="10"/>
      <c r="F26" s="10"/>
    </row>
    <row r="27" customFormat="false" ht="19.5" hidden="false" customHeight="true" outlineLevel="0" collapsed="false">
      <c r="A27" s="11" t="s">
        <v>16</v>
      </c>
      <c r="B27" s="11"/>
      <c r="C27" s="11"/>
      <c r="D27" s="11"/>
      <c r="E27" s="11"/>
      <c r="F27" s="11"/>
    </row>
    <row r="28" customFormat="false" ht="21.75" hidden="false" customHeight="true" outlineLevel="0" collapsed="false">
      <c r="A28" s="12" t="s">
        <v>17</v>
      </c>
      <c r="B28" s="12"/>
      <c r="C28" s="12"/>
      <c r="D28" s="12"/>
      <c r="E28" s="12"/>
      <c r="F28" s="12"/>
    </row>
  </sheetData>
  <mergeCells count="20">
    <mergeCell ref="A1:A4"/>
    <mergeCell ref="B1:F1"/>
    <mergeCell ref="B2:F2"/>
    <mergeCell ref="B3:F3"/>
    <mergeCell ref="B4:F4"/>
    <mergeCell ref="A6:F6"/>
    <mergeCell ref="A7:F7"/>
    <mergeCell ref="A9:F9"/>
    <mergeCell ref="A10:F10"/>
    <mergeCell ref="A12:F12"/>
    <mergeCell ref="A13:F13"/>
    <mergeCell ref="A15:F15"/>
    <mergeCell ref="A16:F16"/>
    <mergeCell ref="A18:F18"/>
    <mergeCell ref="A19:F19"/>
    <mergeCell ref="A21:F21"/>
    <mergeCell ref="A22:F22"/>
    <mergeCell ref="A26:F26"/>
    <mergeCell ref="A27:F27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22"/>
  </cols>
  <sheetData>
    <row r="1" customFormat="false" ht="18" hidden="false" customHeight="true" outlineLevel="0" collapsed="false">
      <c r="A1" s="1"/>
      <c r="B1" s="2" t="s">
        <v>0</v>
      </c>
      <c r="C1" s="2"/>
      <c r="D1" s="2"/>
      <c r="E1" s="2"/>
      <c r="F1" s="2"/>
    </row>
    <row r="2" customFormat="false" ht="25.5" hidden="false" customHeight="true" outlineLevel="0" collapsed="false">
      <c r="A2" s="1"/>
      <c r="B2" s="3" t="s">
        <v>1</v>
      </c>
      <c r="C2" s="3"/>
      <c r="D2" s="3"/>
      <c r="E2" s="3"/>
      <c r="F2" s="3"/>
    </row>
    <row r="3" customFormat="false" ht="21.75" hidden="false" customHeight="true" outlineLevel="0" collapsed="false">
      <c r="A3" s="1"/>
      <c r="B3" s="4" t="s">
        <v>2</v>
      </c>
      <c r="C3" s="4"/>
      <c r="D3" s="4"/>
      <c r="E3" s="4"/>
      <c r="F3" s="4"/>
    </row>
    <row r="4" customFormat="false" ht="15.75" hidden="false" customHeight="true" outlineLevel="0" collapsed="false">
      <c r="A4" s="1"/>
      <c r="B4" s="5" t="s">
        <v>18</v>
      </c>
      <c r="C4" s="5"/>
      <c r="D4" s="5"/>
      <c r="E4" s="5"/>
      <c r="F4" s="5"/>
    </row>
    <row r="5" customFormat="false" ht="6" hidden="false" customHeight="true" outlineLevel="0" collapsed="false"/>
    <row r="6" customFormat="false" ht="30" hidden="false" customHeight="true" outlineLevel="0" collapsed="false">
      <c r="A6" s="6" t="s">
        <v>19</v>
      </c>
      <c r="B6" s="6"/>
      <c r="C6" s="6"/>
      <c r="D6" s="6"/>
      <c r="E6" s="6"/>
      <c r="F6" s="6"/>
    </row>
    <row r="7" customFormat="false" ht="21.75" hidden="false" customHeight="true" outlineLevel="0" collapsed="false">
      <c r="A7" s="13" t="s">
        <v>20</v>
      </c>
      <c r="B7" s="13"/>
      <c r="C7" s="13"/>
      <c r="D7" s="13"/>
      <c r="E7" s="13"/>
      <c r="F7" s="13"/>
    </row>
    <row r="9" customFormat="false" ht="25.5" hidden="false" customHeight="true" outlineLevel="0" collapsed="false">
      <c r="A9" s="14" t="s">
        <v>21</v>
      </c>
      <c r="B9" s="14"/>
      <c r="C9" s="14"/>
      <c r="D9" s="14"/>
      <c r="E9" s="14"/>
      <c r="F9" s="14"/>
    </row>
    <row r="10" customFormat="false" ht="30" hidden="false" customHeight="true" outlineLevel="0" collapsed="false">
      <c r="A10" s="15" t="s">
        <v>22</v>
      </c>
      <c r="B10" s="15"/>
      <c r="C10" s="16" t="n">
        <v>20</v>
      </c>
      <c r="D10" s="17" t="s">
        <v>23</v>
      </c>
      <c r="E10" s="18" t="s">
        <v>24</v>
      </c>
      <c r="F10" s="18"/>
    </row>
    <row r="11" customFormat="false" ht="30" hidden="false" customHeight="true" outlineLevel="0" collapsed="false">
      <c r="A11" s="15" t="s">
        <v>25</v>
      </c>
      <c r="B11" s="15"/>
      <c r="C11" s="19" t="s">
        <v>26</v>
      </c>
      <c r="D11" s="17"/>
      <c r="E11" s="18" t="s">
        <v>27</v>
      </c>
      <c r="F11" s="18"/>
    </row>
    <row r="12" customFormat="false" ht="30" hidden="false" customHeight="true" outlineLevel="0" collapsed="false">
      <c r="A12" s="15" t="s">
        <v>28</v>
      </c>
      <c r="B12" s="15"/>
      <c r="C12" s="16" t="n">
        <v>12</v>
      </c>
      <c r="D12" s="17" t="s">
        <v>29</v>
      </c>
      <c r="E12" s="18" t="s">
        <v>30</v>
      </c>
      <c r="F12" s="18"/>
    </row>
    <row r="13" customFormat="false" ht="30" hidden="false" customHeight="true" outlineLevel="0" collapsed="false">
      <c r="A13" s="15" t="s">
        <v>31</v>
      </c>
      <c r="B13" s="15"/>
      <c r="C13" s="19" t="s">
        <v>32</v>
      </c>
      <c r="D13" s="17"/>
      <c r="E13" s="18" t="s">
        <v>33</v>
      </c>
      <c r="F13" s="18"/>
    </row>
    <row r="15" customFormat="false" ht="25.5" hidden="false" customHeight="true" outlineLevel="0" collapsed="false">
      <c r="A15" s="20" t="s">
        <v>34</v>
      </c>
      <c r="B15" s="20"/>
      <c r="C15" s="20"/>
      <c r="D15" s="20"/>
      <c r="E15" s="20"/>
      <c r="F15" s="20"/>
    </row>
    <row r="16" customFormat="false" ht="37.5" hidden="false" customHeight="true" outlineLevel="0" collapsed="false">
      <c r="A16" s="21" t="s">
        <v>35</v>
      </c>
      <c r="B16" s="21"/>
      <c r="C16" s="22" t="n">
        <f aca="false">IF(C11="Mechanical",C10*0.0013,C10*0.0001)</f>
        <v>0.026</v>
      </c>
      <c r="D16" s="17" t="s">
        <v>36</v>
      </c>
      <c r="E16" s="23" t="str">
        <f aca="false">IF(C11="Mechanical",IF(C10*0.0013&lt;0.02,"✅ Low impact",IF(C10*0.0013&lt;0.04,"⚠ Moderate","❌ Significant — extrusion adjustments needed")),"✅ Low impact")</f>
        <v>⚠ Moderate</v>
      </c>
      <c r="F16" s="23"/>
    </row>
    <row r="17" customFormat="false" ht="37.5" hidden="false" customHeight="true" outlineLevel="0" collapsed="false">
      <c r="A17" s="21" t="s">
        <v>37</v>
      </c>
      <c r="B17" s="21"/>
      <c r="C17" s="24" t="n">
        <f aca="false">2+C10*IF(C11="Mechanical",0.33,0.05)</f>
        <v>8.6</v>
      </c>
      <c r="D17" s="17" t="s">
        <v>38</v>
      </c>
      <c r="E17" s="23" t="str">
        <f aca="false">IF((2+C10*IF(C11="Mechanical",0.33,0.05))&lt;5,"✅ Acceptable",IF((2+C10*IF(C11="Mechanical",0.33,0.05))&lt;10,"⚠ Visible — fine for opaque","❌ Reject for premium grade"))</f>
        <v>⚠ Visible — fine for opaque</v>
      </c>
      <c r="F17" s="23"/>
    </row>
    <row r="18" customFormat="false" ht="37.5" hidden="false" customHeight="true" outlineLevel="0" collapsed="false">
      <c r="A18" s="21" t="s">
        <v>39</v>
      </c>
      <c r="B18" s="21"/>
      <c r="C18" s="24" t="n">
        <f aca="false">1.5+C10*IF(C11="Mechanical",0.1,0.01)</f>
        <v>3.5</v>
      </c>
      <c r="D18" s="17" t="s">
        <v>40</v>
      </c>
      <c r="E18" s="23" t="str">
        <f aca="false">IF((1.5+C10*IF(C11="Mechanical",0.1,0.01))&lt;3,"✅ Imperceptible",IF((1.5+C10*IF(C11="Mechanical",0.1,0.01))&lt;5,"⚠ Visible side-by-side","❌ Visible standalone — premium reject"))</f>
        <v>⚠ Visible side-by-side</v>
      </c>
      <c r="F18" s="23"/>
    </row>
    <row r="19" customFormat="false" ht="37.5" hidden="false" customHeight="true" outlineLevel="0" collapsed="false">
      <c r="A19" s="21" t="s">
        <v>41</v>
      </c>
      <c r="B19" s="21"/>
      <c r="C19" s="24" t="n">
        <f aca="false">MIN(C10*IF(C11="Mechanical",0.17,0.02),35)</f>
        <v>3.4</v>
      </c>
      <c r="D19" s="17" t="s">
        <v>23</v>
      </c>
      <c r="E19" s="23" t="str">
        <f aca="false">IF(MIN(C10*IF(C11="Mechanical",0.17,0.02),35)&lt;3,"✅ Negligible",IF(MIN(C10*IF(C11="Mechanical",0.17,0.02),35)&lt;8,"⚠ Plan ~5% throughput drop","❌ Run trial — could be 10%+ slower"))</f>
        <v>⚠ Plan ~5% throughput drop</v>
      </c>
      <c r="F19" s="23"/>
    </row>
    <row r="20" customFormat="false" ht="37.5" hidden="false" customHeight="true" outlineLevel="0" collapsed="false">
      <c r="A20" s="21" t="s">
        <v>42</v>
      </c>
      <c r="B20" s="21"/>
      <c r="C20" s="25" t="str">
        <f aca="false">IF(AND(C11="Mechanical",C10&gt;30),"HIGH",IF(AND(C11="Mechanical",C10&gt;20,C12&lt;12,C13="Premium"),"HIGH",IF(AND(C11="Chemical",C10&gt;70),"MEDIUM",IF(C10&gt;10,"LOW","NEGLIGIBLE"))))</f>
        <v>LOW</v>
      </c>
      <c r="D20" s="17"/>
      <c r="E20" s="23" t="str">
        <f aca="false">IF(AND(C11="Mechanical",C10&gt;30),"❌ HIGH — gels &amp; whitish tinge will affect Al-vapor uniformity. Reduce loading to ≤30% mech, or switch to chemical r-PET for thin films.",IF(AND(C11="Mechanical",C10&gt;20,C12&lt;12,C13="Premium"),"❌ HIGH — thin film + premium grade is unforgiving with mech r-PET. Consider chemical r-PET.",IF(AND(C11="Chemical",C10&gt;70),"⚠ MEDIUM — verify OD via trial; near-virgin properties usually hold up to 90%.","✅ LOW/NEGLIGIBLE — standard metallisation parameters should work.")))</f>
        <v>✅ LOW/NEGLIGIBLE — standard metallisation parameters should work.</v>
      </c>
      <c r="F20" s="23"/>
    </row>
    <row r="22" customFormat="false" ht="69.75" hidden="false" customHeight="true" outlineLevel="0" collapsed="false">
      <c r="A22" s="26" t="s">
        <v>43</v>
      </c>
      <c r="B22" s="26"/>
      <c r="C22" s="26"/>
      <c r="D22" s="26"/>
      <c r="E22" s="26"/>
      <c r="F22" s="26"/>
    </row>
    <row r="24" customFormat="false" ht="3.75" hidden="false" customHeight="true" outlineLevel="0" collapsed="false">
      <c r="A24" s="10"/>
      <c r="B24" s="10"/>
      <c r="C24" s="10"/>
      <c r="D24" s="10"/>
      <c r="E24" s="10"/>
      <c r="F24" s="10"/>
    </row>
    <row r="25" customFormat="false" ht="19.5" hidden="false" customHeight="true" outlineLevel="0" collapsed="false">
      <c r="A25" s="11" t="s">
        <v>16</v>
      </c>
      <c r="B25" s="11"/>
      <c r="C25" s="11"/>
      <c r="D25" s="11"/>
      <c r="E25" s="11"/>
      <c r="F25" s="11"/>
    </row>
    <row r="26" customFormat="false" ht="21.75" hidden="false" customHeight="true" outlineLevel="0" collapsed="false">
      <c r="A26" s="12" t="s">
        <v>17</v>
      </c>
      <c r="B26" s="12"/>
      <c r="C26" s="12"/>
      <c r="D26" s="12"/>
      <c r="E26" s="12"/>
      <c r="F26" s="12"/>
    </row>
  </sheetData>
  <mergeCells count="31">
    <mergeCell ref="A1:A4"/>
    <mergeCell ref="B1:F1"/>
    <mergeCell ref="B2:F2"/>
    <mergeCell ref="B3:F3"/>
    <mergeCell ref="B4:F4"/>
    <mergeCell ref="A6:F6"/>
    <mergeCell ref="A7:F7"/>
    <mergeCell ref="A9:F9"/>
    <mergeCell ref="A10:B10"/>
    <mergeCell ref="E10:F10"/>
    <mergeCell ref="A11:B11"/>
    <mergeCell ref="E11:F11"/>
    <mergeCell ref="A12:B12"/>
    <mergeCell ref="E12:F12"/>
    <mergeCell ref="A13:B13"/>
    <mergeCell ref="E13:F13"/>
    <mergeCell ref="A15:F15"/>
    <mergeCell ref="A16:B16"/>
    <mergeCell ref="E16:F16"/>
    <mergeCell ref="A17:B17"/>
    <mergeCell ref="E17:F17"/>
    <mergeCell ref="A18:B18"/>
    <mergeCell ref="E18:F18"/>
    <mergeCell ref="A19:B19"/>
    <mergeCell ref="E19:F19"/>
    <mergeCell ref="A20:B20"/>
    <mergeCell ref="E20:F20"/>
    <mergeCell ref="A22:F22"/>
    <mergeCell ref="A24:F24"/>
    <mergeCell ref="A25:F25"/>
    <mergeCell ref="A26:F26"/>
  </mergeCells>
  <dataValidations count="2">
    <dataValidation allowBlank="false" errorStyle="stop" operator="between" showDropDown="false" showErrorMessage="false" showInputMessage="false" sqref="C11" type="list">
      <formula1>"Mechanical,Chemical"</formula1>
      <formula2>0</formula2>
    </dataValidation>
    <dataValidation allowBlank="false" errorStyle="stop" operator="between" showDropDown="false" showErrorMessage="false" showInputMessage="false" sqref="C13" type="list">
      <formula1>"Standard,Premium"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2026-05-04T04:07:29Z</dcterms:created>
  <dc:creator>openpyxl</dc:creator>
  <dc:description/>
  <dc:language>en-US</dc:language>
  <cp:lastModifiedBy/>
  <dcterms:modified xsi:type="dcterms:W3CDTF">2026-05-04T04:07:29Z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