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Scenarios" sheetId="2" state="visible" r:id="rId4"/>
    <sheet name="Method Reference" sheetId="3" state="visible" r:id="rId5"/>
  </sheets>
  <definedNames>
    <definedName function="false" hidden="false" localSheetId="0" name="_xlnm.Print_Area" vbProcedure="false">Calculator!$A$1:$G$42</definedName>
    <definedName function="false" hidden="false" localSheetId="2" name="_xlnm.Print_Area" vbProcedure="false">'Method Reference'!$A$1:$E$43</definedName>
    <definedName function="false" hidden="false" localSheetId="1" name="_xlnm.Print_Area" vbProcedure="false">Scenarios!$A$1:$E$25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Mid-size Indian plant: 150-250 TPM per machine. Adjust to your throughput.</t>
        </r>
      </text>
    </comment>
    <comment ref="C12" authorId="0">
      <text>
        <r>
          <rPr>
            <sz val="10"/>
            <rFont val="Arial"/>
            <family val="2"/>
          </rPr>
          <t xml:space="preserve">Typical Indian metalliser plant baseline. Industry range: 1.5-2.0%.</t>
        </r>
      </text>
    </comment>
    <comment ref="C13" authorId="0">
      <text>
        <r>
          <rPr>
            <sz val="10"/>
            <rFont val="Arial"/>
            <family val="2"/>
          </rPr>
          <t xml:space="preserve">Achievable through operator-discipline playbook. Industry-realistic target: 0.8-1.0%.</t>
        </r>
      </text>
    </comment>
  </commentList>
</comments>
</file>

<file path=xl/sharedStrings.xml><?xml version="1.0" encoding="utf-8"?>
<sst xmlns="http://schemas.openxmlformats.org/spreadsheetml/2006/main" count="194" uniqueCount="155">
  <si>
    <t xml:space="preserve">VKS Tech</t>
  </si>
  <si>
    <t xml:space="preserve">METALLISED WASTE CALCULATOR</t>
  </si>
  <si>
    <t xml:space="preserve">Flexible Packaging Process Engineering</t>
  </si>
  <si>
    <t xml:space="preserve">Companion to Blog #24 · v1.0 · April 2026</t>
  </si>
  <si>
    <t xml:space="preserve">VKS Tech Metallised Waste Savings Calculator</t>
  </si>
  <si>
    <t xml:space="preserve">Companion to Blog #24: Cut Metallised Waste from 1.8% to 0.9%</t>
  </si>
  <si>
    <t xml:space="preserve">Plug in your plant parameters in the YELLOW cells. Outputs auto-calculate.</t>
  </si>
  <si>
    <t xml:space="preserve">INPUTS — Plant Parameters</t>
  </si>
  <si>
    <t xml:space="preserve">How to use this Calculator</t>
  </si>
  <si>
    <t xml:space="preserve">Metallised throughput (tonnes/month)</t>
  </si>
  <si>
    <t xml:space="preserve">Step 1</t>
  </si>
  <si>
    <t xml:space="preserve">Number of metalliser machines</t>
  </si>
  <si>
    <t xml:space="preserve">Enter your plant's metallised throughput and machine count (cells C10:C11). Yellow cells are inputs.</t>
  </si>
  <si>
    <t xml:space="preserve">Current waste % (baseline)</t>
  </si>
  <si>
    <t xml:space="preserve">Step 2</t>
  </si>
  <si>
    <t xml:space="preserve">Target waste % (achievable)</t>
  </si>
  <si>
    <t xml:space="preserve">Set your current and target waste % (C12:C13). Default values reflect typical Indian plant baseline → achievable target.</t>
  </si>
  <si>
    <t xml:space="preserve">Bare film cost (Rs/kg)</t>
  </si>
  <si>
    <t xml:space="preserve">Step 3</t>
  </si>
  <si>
    <t xml:space="preserve">Metallising value-add cost (Rs/kg)</t>
  </si>
  <si>
    <t xml:space="preserve">Enter your bare film cost and metallising value-add (C14:C15). These determine ₹/kg of waste recovered.</t>
  </si>
  <si>
    <t xml:space="preserve">Working months per year</t>
  </si>
  <si>
    <t xml:space="preserve">Step 4</t>
  </si>
  <si>
    <t xml:space="preserve">Total cost per kg of waste (Rs/kg)</t>
  </si>
  <si>
    <t xml:space="preserve">Read the Savings section (rows 28-35) to see monthly and annual recovery — per machine and plant-wide.</t>
  </si>
  <si>
    <t xml:space="preserve">Waste reduction (percentage points)</t>
  </si>
  <si>
    <t xml:space="preserve">Step 5</t>
  </si>
  <si>
    <t xml:space="preserve">If your project requires capex (whiteboards, printing, training), enter in C38. The payback period auto-calculates.</t>
  </si>
  <si>
    <t xml:space="preserve">BEFORE vs AFTER — Per Machine, Per Month</t>
  </si>
  <si>
    <t xml:space="preserve">Tip</t>
  </si>
  <si>
    <t xml:space="preserve">Metric</t>
  </si>
  <si>
    <t xml:space="preserve">Before</t>
  </si>
  <si>
    <t xml:space="preserve">After</t>
  </si>
  <si>
    <t xml:space="preserve">Compare 3 plant sizes side-by-side on the 'Scenarios' sheet.</t>
  </si>
  <si>
    <t xml:space="preserve">Waste % per machine</t>
  </si>
  <si>
    <t xml:space="preserve">Reference the 5 waste sources, 5 disciplines, and tracking format on the 'Method Reference' sheet.</t>
  </si>
  <si>
    <t xml:space="preserve">Waste tonnes per month per machine</t>
  </si>
  <si>
    <t xml:space="preserve">Waste cost per month per machine (Rs)</t>
  </si>
  <si>
    <t xml:space="preserve">SAVINGS — Plant-Wide Recovery</t>
  </si>
  <si>
    <t xml:space="preserve">Waste tonnes saved/month per machine</t>
  </si>
  <si>
    <t xml:space="preserve">Monthly recovery per machine (Rs)</t>
  </si>
  <si>
    <t xml:space="preserve">Annual recovery per machine (Rs)</t>
  </si>
  <si>
    <t xml:space="preserve">Annual recovery in Lakh per machine</t>
  </si>
  <si>
    <t xml:space="preserve">PLANT-WIDE TOTAL ANNUAL RECOVERY</t>
  </si>
  <si>
    <t xml:space="preserve">In Lakh</t>
  </si>
  <si>
    <t xml:space="preserve">In Crore</t>
  </si>
  <si>
    <t xml:space="preserve">PROJECT PAYBACK</t>
  </si>
  <si>
    <t xml:space="preserve">Capex required (Rs)</t>
  </si>
  <si>
    <t xml:space="preserve">Implementation duration (weeks)</t>
  </si>
  <si>
    <t xml:space="preserve">Payback period (months)</t>
  </si>
  <si>
    <t xml:space="preserve">Scenarios — 3 Plant Sizes Compared</t>
  </si>
  <si>
    <t xml:space="preserve">Same waste reduction target (1.8% → 0.9%) applied to plants of different scale</t>
  </si>
  <si>
    <t xml:space="preserve">Parameter</t>
  </si>
  <si>
    <t xml:space="preserve">Small Plant</t>
  </si>
  <si>
    <t xml:space="preserve">Mid-Size Plant</t>
  </si>
  <si>
    <t xml:space="preserve">Large Plant</t>
  </si>
  <si>
    <t xml:space="preserve">Throughput per machine (tonnes/month)</t>
  </si>
  <si>
    <t xml:space="preserve">Number of machines</t>
  </si>
  <si>
    <t xml:space="preserve">Baseline waste %</t>
  </si>
  <si>
    <t xml:space="preserve">Target waste %</t>
  </si>
  <si>
    <t xml:space="preserve">OUTPUTS — Plant-wide Annual Recovery</t>
  </si>
  <si>
    <t xml:space="preserve">Plant-wide annual recovery (Rs)</t>
  </si>
  <si>
    <t xml:space="preserve">BOTTOM LINE — What does this mean?</t>
  </si>
  <si>
    <t xml:space="preserve">Even a small plant captures meaningful recovery. A mid-size plant recovers ~₹93 lakh/year. A large plant: ~₹3.25 Cr/year.</t>
  </si>
  <si>
    <t xml:space="preserve">Capex required: near zero across all scales — methodology relies on tracking format + weekly reviews + visible board.</t>
  </si>
  <si>
    <t xml:space="preserve">Method Reference — 6 Sources &amp; 5 Disciplines</t>
  </si>
  <si>
    <t xml:space="preserve">Quick reference for the methodology in Blog #24's Action Card PDF</t>
  </si>
  <si>
    <t xml:space="preserve">THE 6 SOURCES OF METALLISED WASTE</t>
  </si>
  <si>
    <t xml:space="preserve">#</t>
  </si>
  <si>
    <t xml:space="preserve">Source</t>
  </si>
  <si>
    <t xml:space="preserve">Good Benchmark</t>
  </si>
  <si>
    <t xml:space="preserve">Poor / Cause</t>
  </si>
  <si>
    <t xml:space="preserve">1</t>
  </si>
  <si>
    <t xml:space="preserve">Ramp-Up Waste</t>
  </si>
  <si>
    <t xml:space="preserve">~5 kg (100 m)</t>
  </si>
  <si>
    <t xml:space="preserve">~15 kg (300 m) — OD fluctuation at start</t>
  </si>
  <si>
    <t xml:space="preserve">2</t>
  </si>
  <si>
    <t xml:space="preserve">Ramp-Down Waste</t>
  </si>
  <si>
    <t xml:space="preserve">~1 kg (20 m)</t>
  </si>
  <si>
    <t xml:space="preserve">~2.5 kg (50 m) — late shutter close</t>
  </si>
  <si>
    <t xml:space="preserve">3</t>
  </si>
  <si>
    <t xml:space="preserve">Sample Waste</t>
  </si>
  <si>
    <t xml:space="preserve">~2.5 kg (50 m) — slitter over-cuts</t>
  </si>
  <si>
    <t xml:space="preserve">4</t>
  </si>
  <si>
    <t xml:space="preserve">Trim Waste</t>
  </si>
  <si>
    <t xml:space="preserve">15 mm / 3000 mm = 0.5%</t>
  </si>
  <si>
    <t xml:space="preserve">Wider — planning, alignment, set-up</t>
  </si>
  <si>
    <t xml:space="preserve">5</t>
  </si>
  <si>
    <t xml:space="preserve">Extra Waste (Defect-Cut)</t>
  </si>
  <si>
    <t xml:space="preserve">Minimal if controlled</t>
  </si>
  <si>
    <t xml:space="preserve">Boat power dip / pinhole / OD shift not stopped within 30 sec</t>
  </si>
  <si>
    <t xml:space="preserve">6</t>
  </si>
  <si>
    <t xml:space="preserve">Web Break Waste (Event)</t>
  </si>
  <si>
    <t xml:space="preserve">Target: ZERO kg</t>
  </si>
  <si>
    <t xml:space="preserve">Mid-cycle web tear, +0.5% per event — dedicated playbook in next blog</t>
  </si>
  <si>
    <t xml:space="preserve">THE 5 OPERATOR DISCIPLINES</t>
  </si>
  <si>
    <t xml:space="preserve">Discipline</t>
  </si>
  <si>
    <t xml:space="preserve">What It Means</t>
  </si>
  <si>
    <t xml:space="preserve">Outcome When Applied</t>
  </si>
  <si>
    <t xml:space="preserve">OD Control at Start-Up</t>
  </si>
  <si>
    <t xml:space="preserve">Watch first 100m OD. Slow ramp if fluctuation &gt; ±5%.</t>
  </si>
  <si>
    <t xml:space="preserve">Ramp-Up waste contained to ~5 kg per jumbo</t>
  </si>
  <si>
    <t xml:space="preserve">Source Shutter Discipline at Stop</t>
  </si>
  <si>
    <t xml:space="preserve">Close source-section shutter within 5 sec of stop signal.</t>
  </si>
  <si>
    <t xml:space="preserve">Ramp-Down waste contained to ~1 kg per jumbo</t>
  </si>
  <si>
    <t xml:space="preserve">Sample-Cut Restraint</t>
  </si>
  <si>
    <t xml:space="preserve">Cut max 20m for QC. Document any deviation.</t>
  </si>
  <si>
    <t xml:space="preserve">Sample waste contained to ~1 kg per jumbo</t>
  </si>
  <si>
    <t xml:space="preserve">Trim Planning Per Order</t>
  </si>
  <si>
    <t xml:space="preserve">Calculate trim before slitter set-up.</t>
  </si>
  <si>
    <t xml:space="preserve">Trim waste held at 0.5% (15mm/3000mm)</t>
  </si>
  <si>
    <t xml:space="preserve">Stop-On-Warning Reflex</t>
  </si>
  <si>
    <t xml:space="preserve">Boat dip / pinhole / OD shift → stop within 30 sec.</t>
  </si>
  <si>
    <t xml:space="preserve">Extra/defect waste minimised</t>
  </si>
  <si>
    <t xml:space="preserve">PER-JUMBO TRACKING FORMAT — COLUMN STRUCTURE</t>
  </si>
  <si>
    <t xml:space="preserve">Column</t>
  </si>
  <si>
    <t xml:space="preserve">Unit</t>
  </si>
  <si>
    <t xml:space="preserve">Reflects Discipline Of</t>
  </si>
  <si>
    <t xml:space="preserve">Jumbo No.</t>
  </si>
  <si>
    <t xml:space="preserve">—</t>
  </si>
  <si>
    <t xml:space="preserve">(traceability)</t>
  </si>
  <si>
    <t xml:space="preserve">Met Operator</t>
  </si>
  <si>
    <t xml:space="preserve">(accountability)</t>
  </si>
  <si>
    <t xml:space="preserve">Jumbo Weight</t>
  </si>
  <si>
    <t xml:space="preserve">kg</t>
  </si>
  <si>
    <t xml:space="preserve">(reference quantity)</t>
  </si>
  <si>
    <t xml:space="preserve">Jumbo Length</t>
  </si>
  <si>
    <t xml:space="preserve">m</t>
  </si>
  <si>
    <t xml:space="preserve">Top Waste</t>
  </si>
  <si>
    <t xml:space="preserve">Metalliser operator's RAMP-DOWN</t>
  </si>
  <si>
    <t xml:space="preserve">Slitter operator + QC discipline</t>
  </si>
  <si>
    <t xml:space="preserve">7</t>
  </si>
  <si>
    <t xml:space="preserve">mm</t>
  </si>
  <si>
    <t xml:space="preserve">Process engineer's slit plan</t>
  </si>
  <si>
    <t xml:space="preserve">8</t>
  </si>
  <si>
    <t xml:space="preserve">Bottom Waste</t>
  </si>
  <si>
    <t xml:space="preserve">Metalliser operator's RAMP-UP</t>
  </si>
  <si>
    <t xml:space="preserve">9</t>
  </si>
  <si>
    <t xml:space="preserve">Extra Waste</t>
  </si>
  <si>
    <t xml:space="preserve">Mid-cycle defects, breakdowns, web breaks</t>
  </si>
  <si>
    <t xml:space="preserve">10</t>
  </si>
  <si>
    <t xml:space="preserve">Reason of Extra Waste</t>
  </si>
  <si>
    <t xml:space="preserve">free text</t>
  </si>
  <si>
    <t xml:space="preserve">Investigation discipline (e.g. 'web break')</t>
  </si>
  <si>
    <t xml:space="preserve">11</t>
  </si>
  <si>
    <t xml:space="preserve">Total Waste</t>
  </si>
  <si>
    <t xml:space="preserve">Overall jumbo health</t>
  </si>
  <si>
    <t xml:space="preserve">12</t>
  </si>
  <si>
    <t xml:space="preserve">Waste %</t>
  </si>
  <si>
    <t xml:space="preserve">%</t>
  </si>
  <si>
    <t xml:space="preserve">Total Waste / Jumbo Weight × 100</t>
  </si>
  <si>
    <t xml:space="preserve">CRITICAL GEOMETRY INSIGHT</t>
  </si>
  <si>
    <t xml:space="preserve">Jumbo wound at metalliser, unwound at slitter (outside-in):</t>
  </si>
  <si>
    <t xml:space="preserve">• Top Waste on Slitter = OUTSIDE layer = LAST metres metallised = Ramp-DOWN waste</t>
  </si>
  <si>
    <t xml:space="preserve">• Bottom Waste on Slitter = INSIDE/CORE = FIRST metres metallised = Ramp-UP waste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</si>
</sst>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"/>
    <numFmt numFmtId="167" formatCode="0.0%"/>
    <numFmt numFmtId="168" formatCode="#,##0.0"/>
    <numFmt numFmtId="169" formatCode="0.00%"/>
    <numFmt numFmtId="170" formatCode="#,##0.00"/>
    <numFmt numFmtId="171" formatCode="\₹#,##0"/>
    <numFmt numFmtId="172" formatCode="#,##0.0&quot; lakh&quot;"/>
    <numFmt numFmtId="173" formatCode="#,##0.00&quot; crore&quot;"/>
    <numFmt numFmtId="174" formatCode="0&quot; weeks&quot;"/>
    <numFmt numFmtId="175" formatCode="0.0&quot; months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8"/>
      <color rgb="FF1A2744"/>
      <name val="Arial"/>
      <family val="0"/>
      <charset val="1"/>
    </font>
    <font>
      <i val="true"/>
      <sz val="10"/>
      <color rgb="FF5A5A5A"/>
      <name val="Arial"/>
      <family val="0"/>
      <charset val="1"/>
    </font>
    <font>
      <i val="true"/>
      <sz val="9"/>
      <color rgb="FFE85D2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E85D2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2"/>
    </font>
    <font>
      <b val="true"/>
      <sz val="16"/>
      <color rgb="FF1A274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E85D26"/>
      <name val="Arial"/>
      <family val="0"/>
      <charset val="1"/>
    </font>
    <font>
      <b val="true"/>
      <sz val="10"/>
      <color rgb="FF1A274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2744"/>
        <bgColor rgb="FF003366"/>
      </patternFill>
    </fill>
    <fill>
      <patternFill patternType="solid">
        <fgColor rgb="FFE85D26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0D8C7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D26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399600</xdr:colOff>
      <xdr:row>1</xdr:row>
      <xdr:rowOff>123480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9960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399600</xdr:colOff>
      <xdr:row>1</xdr:row>
      <xdr:rowOff>123480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39960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399600</xdr:colOff>
      <xdr:row>1</xdr:row>
      <xdr:rowOff>123480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39960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"/>
    <col collapsed="false" customWidth="true" hidden="false" outlineLevel="0" max="6" min="6" style="0" width="32"/>
    <col collapsed="false" customWidth="true" hidden="false" outlineLevel="0" max="7" min="7" style="0" width="18"/>
  </cols>
  <sheetData>
    <row r="1" customFormat="false" ht="21.75" hidden="false" customHeight="true" outlineLevel="0" collapsed="false">
      <c r="A1" s="1"/>
      <c r="B1" s="2" t="s">
        <v>0</v>
      </c>
      <c r="C1" s="1"/>
      <c r="D1" s="1"/>
      <c r="E1" s="1"/>
      <c r="F1" s="3" t="s">
        <v>1</v>
      </c>
      <c r="G1" s="3"/>
    </row>
    <row r="2" customFormat="false" ht="21.75" hidden="false" customHeight="true" outlineLevel="0" collapsed="false">
      <c r="A2" s="1"/>
      <c r="B2" s="4" t="s">
        <v>2</v>
      </c>
      <c r="C2" s="1"/>
      <c r="D2" s="1"/>
      <c r="E2" s="1"/>
      <c r="F2" s="5" t="s">
        <v>3</v>
      </c>
      <c r="G2" s="5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</row>
    <row r="5" customFormat="false" ht="22.05" hidden="false" customHeight="false" outlineLevel="0" collapsed="false">
      <c r="B5" s="7" t="s">
        <v>4</v>
      </c>
      <c r="C5" s="7"/>
      <c r="D5" s="7"/>
      <c r="E5" s="7"/>
      <c r="F5" s="7"/>
      <c r="G5" s="7"/>
    </row>
    <row r="6" customFormat="false" ht="15" hidden="false" customHeight="false" outlineLevel="0" collapsed="false">
      <c r="B6" s="8" t="s">
        <v>5</v>
      </c>
      <c r="C6" s="8"/>
      <c r="D6" s="8"/>
      <c r="E6" s="8"/>
      <c r="F6" s="8"/>
      <c r="G6" s="8"/>
    </row>
    <row r="7" customFormat="false" ht="15" hidden="false" customHeight="false" outlineLevel="0" collapsed="false">
      <c r="B7" s="9" t="s">
        <v>6</v>
      </c>
      <c r="C7" s="9"/>
      <c r="D7" s="9"/>
      <c r="E7" s="9"/>
      <c r="F7" s="9"/>
      <c r="G7" s="9"/>
    </row>
    <row r="8" customFormat="false" ht="7.5" hidden="false" customHeight="true" outlineLevel="0" collapsed="false"/>
    <row r="9" customFormat="false" ht="15" hidden="false" customHeight="false" outlineLevel="0" collapsed="false">
      <c r="B9" s="10" t="s">
        <v>7</v>
      </c>
      <c r="C9" s="10"/>
      <c r="D9" s="10"/>
      <c r="F9" s="10" t="s">
        <v>8</v>
      </c>
      <c r="G9" s="10"/>
    </row>
    <row r="10" customFormat="false" ht="18" hidden="false" customHeight="true" outlineLevel="0" collapsed="false">
      <c r="B10" s="11" t="s">
        <v>9</v>
      </c>
      <c r="C10" s="12" t="n">
        <v>200</v>
      </c>
      <c r="D10" s="13"/>
      <c r="F10" s="14" t="s">
        <v>10</v>
      </c>
    </row>
    <row r="11" customFormat="false" ht="37.5" hidden="false" customHeight="true" outlineLevel="0" collapsed="false">
      <c r="B11" s="11" t="s">
        <v>11</v>
      </c>
      <c r="C11" s="15" t="n">
        <v>2</v>
      </c>
      <c r="D11" s="13"/>
      <c r="F11" s="16" t="s">
        <v>12</v>
      </c>
    </row>
    <row r="12" customFormat="false" ht="18" hidden="false" customHeight="true" outlineLevel="0" collapsed="false">
      <c r="B12" s="11" t="s">
        <v>13</v>
      </c>
      <c r="C12" s="17" t="n">
        <v>0.018</v>
      </c>
      <c r="D12" s="13"/>
      <c r="F12" s="14" t="s">
        <v>14</v>
      </c>
    </row>
    <row r="13" customFormat="false" ht="37.5" hidden="false" customHeight="true" outlineLevel="0" collapsed="false">
      <c r="B13" s="11" t="s">
        <v>15</v>
      </c>
      <c r="C13" s="17" t="n">
        <v>0.009</v>
      </c>
      <c r="D13" s="13"/>
      <c r="F13" s="16" t="s">
        <v>16</v>
      </c>
    </row>
    <row r="14" customFormat="false" ht="18" hidden="false" customHeight="true" outlineLevel="0" collapsed="false">
      <c r="B14" s="11" t="s">
        <v>17</v>
      </c>
      <c r="C14" s="12" t="n">
        <v>200</v>
      </c>
      <c r="D14" s="13"/>
      <c r="F14" s="14" t="s">
        <v>18</v>
      </c>
    </row>
    <row r="15" customFormat="false" ht="37.5" hidden="false" customHeight="true" outlineLevel="0" collapsed="false">
      <c r="B15" s="11" t="s">
        <v>19</v>
      </c>
      <c r="C15" s="12" t="n">
        <v>15</v>
      </c>
      <c r="D15" s="13"/>
      <c r="F15" s="16" t="s">
        <v>20</v>
      </c>
    </row>
    <row r="16" customFormat="false" ht="18" hidden="false" customHeight="true" outlineLevel="0" collapsed="false">
      <c r="B16" s="11" t="s">
        <v>21</v>
      </c>
      <c r="C16" s="15" t="n">
        <v>12</v>
      </c>
      <c r="D16" s="13"/>
      <c r="F16" s="14" t="s">
        <v>22</v>
      </c>
    </row>
    <row r="17" customFormat="false" ht="37.5" hidden="false" customHeight="true" outlineLevel="0" collapsed="false">
      <c r="B17" s="18" t="s">
        <v>23</v>
      </c>
      <c r="C17" s="19" t="n">
        <f aca="false">C14+C15</f>
        <v>215</v>
      </c>
      <c r="D17" s="13"/>
      <c r="F17" s="16" t="s">
        <v>24</v>
      </c>
    </row>
    <row r="18" customFormat="false" ht="18" hidden="false" customHeight="true" outlineLevel="0" collapsed="false">
      <c r="B18" s="18" t="s">
        <v>25</v>
      </c>
      <c r="C18" s="20" t="n">
        <f aca="false">C12-C13</f>
        <v>0.009</v>
      </c>
      <c r="D18" s="13"/>
      <c r="F18" s="14" t="s">
        <v>26</v>
      </c>
    </row>
    <row r="19" customFormat="false" ht="7.5" hidden="false" customHeight="true" outlineLevel="0" collapsed="false">
      <c r="F19" s="16" t="s">
        <v>27</v>
      </c>
    </row>
    <row r="20" customFormat="false" ht="18" hidden="false" customHeight="true" outlineLevel="0" collapsed="false">
      <c r="B20" s="10" t="s">
        <v>28</v>
      </c>
      <c r="C20" s="10"/>
      <c r="D20" s="10"/>
      <c r="F20" s="14" t="s">
        <v>29</v>
      </c>
    </row>
    <row r="21" customFormat="false" ht="37.5" hidden="false" customHeight="true" outlineLevel="0" collapsed="false">
      <c r="B21" s="21" t="s">
        <v>30</v>
      </c>
      <c r="C21" s="21" t="s">
        <v>31</v>
      </c>
      <c r="D21" s="21" t="s">
        <v>32</v>
      </c>
      <c r="F21" s="16" t="s">
        <v>33</v>
      </c>
    </row>
    <row r="22" customFormat="false" ht="18" hidden="false" customHeight="true" outlineLevel="0" collapsed="false">
      <c r="B22" s="22" t="s">
        <v>9</v>
      </c>
      <c r="C22" s="23" t="n">
        <f aca="false">C10</f>
        <v>200</v>
      </c>
      <c r="D22" s="23" t="n">
        <f aca="false">C10</f>
        <v>200</v>
      </c>
      <c r="F22" s="14" t="s">
        <v>29</v>
      </c>
    </row>
    <row r="23" customFormat="false" ht="37.5" hidden="false" customHeight="true" outlineLevel="0" collapsed="false">
      <c r="B23" s="22" t="s">
        <v>34</v>
      </c>
      <c r="C23" s="24" t="n">
        <f aca="false">C12</f>
        <v>0.018</v>
      </c>
      <c r="D23" s="24" t="n">
        <f aca="false">C13</f>
        <v>0.009</v>
      </c>
      <c r="F23" s="16" t="s">
        <v>35</v>
      </c>
    </row>
    <row r="24" customFormat="false" ht="15" hidden="false" customHeight="false" outlineLevel="0" collapsed="false">
      <c r="B24" s="22" t="s">
        <v>36</v>
      </c>
      <c r="C24" s="25" t="n">
        <f aca="false">C22*C23</f>
        <v>3.6</v>
      </c>
      <c r="D24" s="25" t="n">
        <f aca="false">D22*D23</f>
        <v>1.8</v>
      </c>
    </row>
    <row r="25" customFormat="false" ht="15" hidden="false" customHeight="false" outlineLevel="0" collapsed="false">
      <c r="B25" s="22" t="s">
        <v>37</v>
      </c>
      <c r="C25" s="26" t="n">
        <f aca="false">C24*1000*$C$17</f>
        <v>774000</v>
      </c>
      <c r="D25" s="26" t="n">
        <f aca="false">D24*1000*$C$17</f>
        <v>387000</v>
      </c>
    </row>
    <row r="26" customFormat="false" ht="7.5" hidden="false" customHeight="true" outlineLevel="0" collapsed="false"/>
    <row r="27" customFormat="false" ht="15" hidden="false" customHeight="false" outlineLevel="0" collapsed="false">
      <c r="B27" s="10" t="s">
        <v>38</v>
      </c>
      <c r="C27" s="10"/>
      <c r="D27" s="10"/>
    </row>
    <row r="28" customFormat="false" ht="15" hidden="false" customHeight="false" outlineLevel="0" collapsed="false">
      <c r="B28" s="27" t="s">
        <v>39</v>
      </c>
      <c r="C28" s="28" t="n">
        <f aca="false">C24-D24</f>
        <v>1.8</v>
      </c>
    </row>
    <row r="29" customFormat="false" ht="15" hidden="false" customHeight="false" outlineLevel="0" collapsed="false">
      <c r="B29" s="27" t="s">
        <v>40</v>
      </c>
      <c r="C29" s="29" t="n">
        <f aca="false">C25-D25</f>
        <v>387000</v>
      </c>
    </row>
    <row r="30" customFormat="false" ht="15" hidden="false" customHeight="false" outlineLevel="0" collapsed="false">
      <c r="B30" s="27" t="s">
        <v>41</v>
      </c>
      <c r="C30" s="29" t="n">
        <f aca="false">C29*$C$16</f>
        <v>4644000</v>
      </c>
    </row>
    <row r="31" customFormat="false" ht="15" hidden="false" customHeight="false" outlineLevel="0" collapsed="false">
      <c r="B31" s="27" t="s">
        <v>42</v>
      </c>
      <c r="C31" s="30" t="n">
        <f aca="false">C30/100000</f>
        <v>46.44</v>
      </c>
    </row>
    <row r="32" customFormat="false" ht="7.5" hidden="false" customHeight="true" outlineLevel="0" collapsed="false"/>
    <row r="33" customFormat="false" ht="17.35" hidden="false" customHeight="false" outlineLevel="0" collapsed="false">
      <c r="B33" s="31" t="s">
        <v>43</v>
      </c>
      <c r="C33" s="32" t="n">
        <f aca="false">C30*C11</f>
        <v>9288000</v>
      </c>
    </row>
    <row r="34" customFormat="false" ht="15" hidden="false" customHeight="false" outlineLevel="0" collapsed="false">
      <c r="B34" s="18" t="s">
        <v>44</v>
      </c>
      <c r="C34" s="30" t="n">
        <f aca="false">C33/100000</f>
        <v>92.88</v>
      </c>
    </row>
    <row r="35" customFormat="false" ht="15" hidden="false" customHeight="false" outlineLevel="0" collapsed="false">
      <c r="B35" s="18" t="s">
        <v>45</v>
      </c>
      <c r="C35" s="33" t="n">
        <f aca="false">C33/10000000</f>
        <v>0.9288</v>
      </c>
    </row>
    <row r="36" customFormat="false" ht="7.5" hidden="false" customHeight="true" outlineLevel="0" collapsed="false"/>
    <row r="37" customFormat="false" ht="15" hidden="false" customHeight="false" outlineLevel="0" collapsed="false">
      <c r="B37" s="10" t="s">
        <v>46</v>
      </c>
      <c r="C37" s="10"/>
      <c r="D37" s="10"/>
    </row>
    <row r="38" customFormat="false" ht="15" hidden="false" customHeight="false" outlineLevel="0" collapsed="false">
      <c r="B38" s="22" t="s">
        <v>47</v>
      </c>
      <c r="C38" s="34" t="n">
        <v>0</v>
      </c>
      <c r="D38" s="13"/>
    </row>
    <row r="39" customFormat="false" ht="15" hidden="false" customHeight="false" outlineLevel="0" collapsed="false">
      <c r="B39" s="22" t="s">
        <v>48</v>
      </c>
      <c r="C39" s="35" t="n">
        <v>12</v>
      </c>
      <c r="D39" s="13"/>
    </row>
    <row r="40" customFormat="false" ht="15" hidden="false" customHeight="false" outlineLevel="0" collapsed="false">
      <c r="B40" s="27" t="s">
        <v>49</v>
      </c>
      <c r="C40" s="36" t="n">
        <f aca="false">IF(C29=0,0,IF(C38=0,0,C38/C29))</f>
        <v>0</v>
      </c>
    </row>
  </sheetData>
  <mergeCells count="10">
    <mergeCell ref="F1:G1"/>
    <mergeCell ref="F2:G2"/>
    <mergeCell ref="B5:G5"/>
    <mergeCell ref="B6:G6"/>
    <mergeCell ref="B7:G7"/>
    <mergeCell ref="B9:D9"/>
    <mergeCell ref="F9:G9"/>
    <mergeCell ref="B20:D20"/>
    <mergeCell ref="B27:D27"/>
    <mergeCell ref="B37:D3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5" min="3" style="0" width="18"/>
  </cols>
  <sheetData>
    <row r="1" customFormat="false" ht="21.75" hidden="false" customHeight="true" outlineLevel="0" collapsed="false">
      <c r="A1" s="1"/>
      <c r="B1" s="2" t="s">
        <v>0</v>
      </c>
      <c r="C1" s="1"/>
      <c r="D1" s="3" t="s">
        <v>1</v>
      </c>
      <c r="E1" s="3"/>
    </row>
    <row r="2" customFormat="false" ht="21.75" hidden="false" customHeight="true" outlineLevel="0" collapsed="false">
      <c r="A2" s="1"/>
      <c r="B2" s="4" t="s">
        <v>2</v>
      </c>
      <c r="C2" s="1"/>
      <c r="D2" s="5" t="s">
        <v>3</v>
      </c>
      <c r="E2" s="5"/>
    </row>
    <row r="3" customFormat="false" ht="3.75" hidden="false" customHeight="true" outlineLevel="0" collapsed="false">
      <c r="A3" s="6"/>
      <c r="B3" s="6"/>
      <c r="C3" s="6"/>
      <c r="D3" s="6"/>
      <c r="E3" s="6"/>
    </row>
    <row r="4" customFormat="false" ht="7.5" hidden="false" customHeight="true" outlineLevel="0" collapsed="false"/>
    <row r="5" customFormat="false" ht="19.7" hidden="false" customHeight="false" outlineLevel="0" collapsed="false">
      <c r="B5" s="37" t="s">
        <v>50</v>
      </c>
      <c r="C5" s="37"/>
      <c r="D5" s="37"/>
      <c r="E5" s="37"/>
    </row>
    <row r="6" customFormat="false" ht="15" hidden="false" customHeight="false" outlineLevel="0" collapsed="false">
      <c r="B6" s="8" t="s">
        <v>51</v>
      </c>
      <c r="C6" s="8"/>
      <c r="D6" s="8"/>
      <c r="E6" s="8"/>
    </row>
    <row r="7" customFormat="false" ht="7.5" hidden="false" customHeight="true" outlineLevel="0" collapsed="false"/>
    <row r="8" customFormat="false" ht="15" hidden="false" customHeight="false" outlineLevel="0" collapsed="false">
      <c r="B8" s="21" t="s">
        <v>52</v>
      </c>
      <c r="C8" s="21" t="s">
        <v>53</v>
      </c>
      <c r="D8" s="21" t="s">
        <v>54</v>
      </c>
      <c r="E8" s="21" t="s">
        <v>55</v>
      </c>
    </row>
    <row r="9" customFormat="false" ht="15" hidden="false" customHeight="false" outlineLevel="0" collapsed="false">
      <c r="B9" s="22" t="s">
        <v>56</v>
      </c>
      <c r="C9" s="12" t="n">
        <v>100</v>
      </c>
      <c r="D9" s="12" t="n">
        <v>200</v>
      </c>
      <c r="E9" s="12" t="n">
        <v>350</v>
      </c>
    </row>
    <row r="10" customFormat="false" ht="15" hidden="false" customHeight="false" outlineLevel="0" collapsed="false">
      <c r="B10" s="22" t="s">
        <v>57</v>
      </c>
      <c r="C10" s="15" t="n">
        <v>1</v>
      </c>
      <c r="D10" s="15" t="n">
        <v>2</v>
      </c>
      <c r="E10" s="15" t="n">
        <v>4</v>
      </c>
    </row>
    <row r="11" customFormat="false" ht="15" hidden="false" customHeight="false" outlineLevel="0" collapsed="false">
      <c r="B11" s="22" t="s">
        <v>58</v>
      </c>
      <c r="C11" s="17" t="n">
        <v>0.018</v>
      </c>
      <c r="D11" s="17" t="n">
        <v>0.018</v>
      </c>
      <c r="E11" s="17" t="n">
        <v>0.018</v>
      </c>
    </row>
    <row r="12" customFormat="false" ht="15" hidden="false" customHeight="false" outlineLevel="0" collapsed="false">
      <c r="B12" s="22" t="s">
        <v>59</v>
      </c>
      <c r="C12" s="17" t="n">
        <v>0.009</v>
      </c>
      <c r="D12" s="17" t="n">
        <v>0.009</v>
      </c>
      <c r="E12" s="17" t="n">
        <v>0.009</v>
      </c>
    </row>
    <row r="13" customFormat="false" ht="15" hidden="false" customHeight="false" outlineLevel="0" collapsed="false">
      <c r="B13" s="22" t="s">
        <v>23</v>
      </c>
      <c r="C13" s="12" t="n">
        <v>215</v>
      </c>
      <c r="D13" s="12" t="n">
        <v>215</v>
      </c>
      <c r="E13" s="12" t="n">
        <v>215</v>
      </c>
    </row>
    <row r="14" customFormat="false" ht="7.5" hidden="false" customHeight="true" outlineLevel="0" collapsed="false"/>
    <row r="15" customFormat="false" ht="15" hidden="false" customHeight="false" outlineLevel="0" collapsed="false">
      <c r="B15" s="10" t="s">
        <v>60</v>
      </c>
      <c r="C15" s="10"/>
      <c r="D15" s="10"/>
      <c r="E15" s="10"/>
    </row>
    <row r="16" customFormat="false" ht="15" hidden="false" customHeight="false" outlineLevel="0" collapsed="false">
      <c r="B16" s="22" t="s">
        <v>39</v>
      </c>
      <c r="C16" s="25" t="n">
        <f aca="false">C9*(C11-C12)</f>
        <v>0.9</v>
      </c>
      <c r="D16" s="25" t="n">
        <f aca="false">D9*(D11-D12)</f>
        <v>1.8</v>
      </c>
      <c r="E16" s="25" t="n">
        <f aca="false">E9*(E11-E12)</f>
        <v>3.15</v>
      </c>
    </row>
    <row r="17" customFormat="false" ht="15" hidden="false" customHeight="false" outlineLevel="0" collapsed="false">
      <c r="B17" s="22" t="s">
        <v>40</v>
      </c>
      <c r="C17" s="26" t="n">
        <f aca="false">C16*1000*C13</f>
        <v>193500</v>
      </c>
      <c r="D17" s="26" t="n">
        <f aca="false">D16*1000*D13</f>
        <v>387000</v>
      </c>
      <c r="E17" s="26" t="n">
        <f aca="false">E16*1000*E13</f>
        <v>677250</v>
      </c>
    </row>
    <row r="18" customFormat="false" ht="15" hidden="false" customHeight="false" outlineLevel="0" collapsed="false">
      <c r="B18" s="22" t="s">
        <v>41</v>
      </c>
      <c r="C18" s="26" t="n">
        <f aca="false">C17*12</f>
        <v>2322000</v>
      </c>
      <c r="D18" s="26" t="n">
        <f aca="false">D17*12</f>
        <v>4644000</v>
      </c>
      <c r="E18" s="26" t="n">
        <f aca="false">E17*12</f>
        <v>8127000</v>
      </c>
    </row>
    <row r="19" customFormat="false" ht="15" hidden="false" customHeight="false" outlineLevel="0" collapsed="false">
      <c r="B19" s="27" t="s">
        <v>61</v>
      </c>
      <c r="C19" s="29" t="n">
        <f aca="false">C18*C10</f>
        <v>2322000</v>
      </c>
      <c r="D19" s="29" t="n">
        <f aca="false">D18*D10</f>
        <v>9288000</v>
      </c>
      <c r="E19" s="29" t="n">
        <f aca="false">E18*E10</f>
        <v>32508000</v>
      </c>
    </row>
    <row r="20" customFormat="false" ht="15" hidden="false" customHeight="false" outlineLevel="0" collapsed="false">
      <c r="B20" s="11" t="s">
        <v>44</v>
      </c>
      <c r="C20" s="38" t="n">
        <f aca="false">C19/100000</f>
        <v>23.22</v>
      </c>
      <c r="D20" s="38" t="n">
        <f aca="false">D19/100000</f>
        <v>92.88</v>
      </c>
      <c r="E20" s="38" t="n">
        <f aca="false">E19/100000</f>
        <v>325.08</v>
      </c>
    </row>
    <row r="21" customFormat="false" ht="15" hidden="false" customHeight="false" outlineLevel="0" collapsed="false">
      <c r="B21" s="11" t="s">
        <v>45</v>
      </c>
      <c r="C21" s="39" t="n">
        <f aca="false">C19/10000000</f>
        <v>0.2322</v>
      </c>
      <c r="D21" s="39" t="n">
        <f aca="false">D19/10000000</f>
        <v>0.9288</v>
      </c>
      <c r="E21" s="39" t="n">
        <f aca="false">E19/10000000</f>
        <v>3.2508</v>
      </c>
    </row>
    <row r="22" customFormat="false" ht="7.5" hidden="false" customHeight="true" outlineLevel="0" collapsed="false"/>
    <row r="23" customFormat="false" ht="15" hidden="false" customHeight="false" outlineLevel="0" collapsed="false">
      <c r="B23" s="40" t="s">
        <v>62</v>
      </c>
      <c r="C23" s="40"/>
      <c r="D23" s="40"/>
      <c r="E23" s="40"/>
    </row>
    <row r="24" customFormat="false" ht="24.75" hidden="false" customHeight="true" outlineLevel="0" collapsed="false">
      <c r="B24" s="41" t="s">
        <v>63</v>
      </c>
      <c r="C24" s="41"/>
      <c r="D24" s="41"/>
      <c r="E24" s="41"/>
    </row>
    <row r="25" customFormat="false" ht="24.75" hidden="false" customHeight="true" outlineLevel="0" collapsed="false">
      <c r="B25" s="42" t="s">
        <v>64</v>
      </c>
      <c r="C25" s="42"/>
      <c r="D25" s="42"/>
      <c r="E25" s="42"/>
    </row>
  </sheetData>
  <mergeCells count="8">
    <mergeCell ref="D1:E1"/>
    <mergeCell ref="D2:E2"/>
    <mergeCell ref="B5:E5"/>
    <mergeCell ref="B6:E6"/>
    <mergeCell ref="B15:E15"/>
    <mergeCell ref="B23:E23"/>
    <mergeCell ref="B24:E24"/>
    <mergeCell ref="B25:E2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25"/>
    <col collapsed="false" customWidth="true" hidden="false" outlineLevel="0" max="4" min="4" style="0" width="32"/>
    <col collapsed="false" customWidth="true" hidden="false" outlineLevel="0" max="5" min="5" style="0" width="38"/>
  </cols>
  <sheetData>
    <row r="1" customFormat="false" ht="21.75" hidden="false" customHeight="true" outlineLevel="0" collapsed="false">
      <c r="A1" s="1"/>
      <c r="B1" s="2" t="s">
        <v>0</v>
      </c>
      <c r="C1" s="1"/>
      <c r="D1" s="3" t="s">
        <v>1</v>
      </c>
      <c r="E1" s="3"/>
    </row>
    <row r="2" customFormat="false" ht="21.75" hidden="false" customHeight="true" outlineLevel="0" collapsed="false">
      <c r="A2" s="1"/>
      <c r="B2" s="4" t="s">
        <v>2</v>
      </c>
      <c r="C2" s="1"/>
      <c r="D2" s="5" t="s">
        <v>3</v>
      </c>
      <c r="E2" s="5"/>
    </row>
    <row r="3" customFormat="false" ht="3.75" hidden="false" customHeight="true" outlineLevel="0" collapsed="false">
      <c r="A3" s="6"/>
      <c r="B3" s="6"/>
      <c r="C3" s="6"/>
      <c r="D3" s="6"/>
      <c r="E3" s="6"/>
    </row>
    <row r="4" customFormat="false" ht="7.5" hidden="false" customHeight="true" outlineLevel="0" collapsed="false"/>
    <row r="5" customFormat="false" ht="19.7" hidden="false" customHeight="false" outlineLevel="0" collapsed="false">
      <c r="B5" s="37" t="s">
        <v>65</v>
      </c>
      <c r="C5" s="37"/>
      <c r="D5" s="37"/>
      <c r="E5" s="37"/>
    </row>
    <row r="6" customFormat="false" ht="15" hidden="false" customHeight="false" outlineLevel="0" collapsed="false">
      <c r="B6" s="8" t="s">
        <v>66</v>
      </c>
      <c r="C6" s="8"/>
      <c r="D6" s="8"/>
      <c r="E6" s="8"/>
    </row>
    <row r="7" customFormat="false" ht="7.5" hidden="false" customHeight="true" outlineLevel="0" collapsed="false"/>
    <row r="8" customFormat="false" ht="15" hidden="false" customHeight="false" outlineLevel="0" collapsed="false">
      <c r="B8" s="10" t="s">
        <v>67</v>
      </c>
      <c r="C8" s="10"/>
      <c r="D8" s="10"/>
      <c r="E8" s="10"/>
    </row>
    <row r="9" customFormat="false" ht="15" hidden="false" customHeight="false" outlineLevel="0" collapsed="false">
      <c r="B9" s="21" t="s">
        <v>68</v>
      </c>
      <c r="C9" s="21" t="s">
        <v>69</v>
      </c>
      <c r="D9" s="21" t="s">
        <v>70</v>
      </c>
      <c r="E9" s="21" t="s">
        <v>71</v>
      </c>
    </row>
    <row r="10" customFormat="false" ht="27.75" hidden="false" customHeight="true" outlineLevel="0" collapsed="false">
      <c r="B10" s="43" t="s">
        <v>72</v>
      </c>
      <c r="C10" s="27" t="s">
        <v>73</v>
      </c>
      <c r="D10" s="44" t="s">
        <v>74</v>
      </c>
      <c r="E10" s="44" t="s">
        <v>75</v>
      </c>
    </row>
    <row r="11" customFormat="false" ht="27.75" hidden="false" customHeight="true" outlineLevel="0" collapsed="false">
      <c r="B11" s="43" t="s">
        <v>76</v>
      </c>
      <c r="C11" s="27" t="s">
        <v>77</v>
      </c>
      <c r="D11" s="44" t="s">
        <v>78</v>
      </c>
      <c r="E11" s="44" t="s">
        <v>79</v>
      </c>
    </row>
    <row r="12" customFormat="false" ht="27.75" hidden="false" customHeight="true" outlineLevel="0" collapsed="false">
      <c r="B12" s="43" t="s">
        <v>80</v>
      </c>
      <c r="C12" s="27" t="s">
        <v>81</v>
      </c>
      <c r="D12" s="44" t="s">
        <v>78</v>
      </c>
      <c r="E12" s="44" t="s">
        <v>82</v>
      </c>
    </row>
    <row r="13" customFormat="false" ht="27.75" hidden="false" customHeight="true" outlineLevel="0" collapsed="false">
      <c r="B13" s="43" t="s">
        <v>83</v>
      </c>
      <c r="C13" s="27" t="s">
        <v>84</v>
      </c>
      <c r="D13" s="44" t="s">
        <v>85</v>
      </c>
      <c r="E13" s="44" t="s">
        <v>86</v>
      </c>
    </row>
    <row r="14" customFormat="false" ht="27.75" hidden="false" customHeight="true" outlineLevel="0" collapsed="false">
      <c r="B14" s="43" t="s">
        <v>87</v>
      </c>
      <c r="C14" s="27" t="s">
        <v>88</v>
      </c>
      <c r="D14" s="44" t="s">
        <v>89</v>
      </c>
      <c r="E14" s="44" t="s">
        <v>90</v>
      </c>
    </row>
    <row r="15" customFormat="false" ht="27.75" hidden="false" customHeight="true" outlineLevel="0" collapsed="false">
      <c r="B15" s="43" t="s">
        <v>91</v>
      </c>
      <c r="C15" s="27" t="s">
        <v>92</v>
      </c>
      <c r="D15" s="44" t="s">
        <v>93</v>
      </c>
      <c r="E15" s="44" t="s">
        <v>94</v>
      </c>
    </row>
    <row r="16" customFormat="false" ht="7.5" hidden="false" customHeight="true" outlineLevel="0" collapsed="false"/>
    <row r="17" customFormat="false" ht="15" hidden="false" customHeight="false" outlineLevel="0" collapsed="false">
      <c r="B17" s="10" t="s">
        <v>95</v>
      </c>
      <c r="C17" s="10"/>
      <c r="D17" s="10"/>
      <c r="E17" s="10"/>
    </row>
    <row r="18" customFormat="false" ht="15" hidden="false" customHeight="false" outlineLevel="0" collapsed="false">
      <c r="B18" s="21" t="s">
        <v>68</v>
      </c>
      <c r="C18" s="21" t="s">
        <v>96</v>
      </c>
      <c r="D18" s="21" t="s">
        <v>97</v>
      </c>
      <c r="E18" s="21" t="s">
        <v>98</v>
      </c>
    </row>
    <row r="19" customFormat="false" ht="31.5" hidden="false" customHeight="true" outlineLevel="0" collapsed="false">
      <c r="B19" s="43" t="s">
        <v>72</v>
      </c>
      <c r="C19" s="45" t="s">
        <v>99</v>
      </c>
      <c r="D19" s="44" t="s">
        <v>100</v>
      </c>
      <c r="E19" s="44" t="s">
        <v>101</v>
      </c>
    </row>
    <row r="20" customFormat="false" ht="31.5" hidden="false" customHeight="true" outlineLevel="0" collapsed="false">
      <c r="B20" s="43" t="s">
        <v>76</v>
      </c>
      <c r="C20" s="45" t="s">
        <v>102</v>
      </c>
      <c r="D20" s="44" t="s">
        <v>103</v>
      </c>
      <c r="E20" s="44" t="s">
        <v>104</v>
      </c>
    </row>
    <row r="21" customFormat="false" ht="31.5" hidden="false" customHeight="true" outlineLevel="0" collapsed="false">
      <c r="B21" s="43" t="s">
        <v>80</v>
      </c>
      <c r="C21" s="45" t="s">
        <v>105</v>
      </c>
      <c r="D21" s="44" t="s">
        <v>106</v>
      </c>
      <c r="E21" s="44" t="s">
        <v>107</v>
      </c>
    </row>
    <row r="22" customFormat="false" ht="31.5" hidden="false" customHeight="true" outlineLevel="0" collapsed="false">
      <c r="B22" s="43" t="s">
        <v>83</v>
      </c>
      <c r="C22" s="45" t="s">
        <v>108</v>
      </c>
      <c r="D22" s="44" t="s">
        <v>109</v>
      </c>
      <c r="E22" s="44" t="s">
        <v>110</v>
      </c>
    </row>
    <row r="23" customFormat="false" ht="31.5" hidden="false" customHeight="true" outlineLevel="0" collapsed="false">
      <c r="B23" s="43" t="s">
        <v>87</v>
      </c>
      <c r="C23" s="45" t="s">
        <v>111</v>
      </c>
      <c r="D23" s="44" t="s">
        <v>112</v>
      </c>
      <c r="E23" s="44" t="s">
        <v>113</v>
      </c>
    </row>
    <row r="24" customFormat="false" ht="7.5" hidden="false" customHeight="true" outlineLevel="0" collapsed="false"/>
    <row r="25" customFormat="false" ht="15" hidden="false" customHeight="false" outlineLevel="0" collapsed="false">
      <c r="B25" s="10" t="s">
        <v>114</v>
      </c>
      <c r="C25" s="10"/>
      <c r="D25" s="10"/>
      <c r="E25" s="10"/>
    </row>
    <row r="26" customFormat="false" ht="15" hidden="false" customHeight="false" outlineLevel="0" collapsed="false">
      <c r="B26" s="21" t="s">
        <v>68</v>
      </c>
      <c r="C26" s="21" t="s">
        <v>115</v>
      </c>
      <c r="D26" s="21" t="s">
        <v>116</v>
      </c>
      <c r="E26" s="21" t="s">
        <v>117</v>
      </c>
    </row>
    <row r="27" customFormat="false" ht="15" hidden="false" customHeight="false" outlineLevel="0" collapsed="false">
      <c r="B27" s="43" t="s">
        <v>72</v>
      </c>
      <c r="C27" s="22" t="s">
        <v>118</v>
      </c>
      <c r="D27" s="46" t="s">
        <v>119</v>
      </c>
      <c r="E27" s="44" t="s">
        <v>120</v>
      </c>
    </row>
    <row r="28" customFormat="false" ht="15" hidden="false" customHeight="false" outlineLevel="0" collapsed="false">
      <c r="B28" s="43" t="s">
        <v>76</v>
      </c>
      <c r="C28" s="22" t="s">
        <v>121</v>
      </c>
      <c r="D28" s="46" t="s">
        <v>119</v>
      </c>
      <c r="E28" s="44" t="s">
        <v>122</v>
      </c>
    </row>
    <row r="29" customFormat="false" ht="15" hidden="false" customHeight="false" outlineLevel="0" collapsed="false">
      <c r="B29" s="43" t="s">
        <v>80</v>
      </c>
      <c r="C29" s="22" t="s">
        <v>123</v>
      </c>
      <c r="D29" s="46" t="s">
        <v>124</v>
      </c>
      <c r="E29" s="44" t="s">
        <v>125</v>
      </c>
    </row>
    <row r="30" customFormat="false" ht="15" hidden="false" customHeight="false" outlineLevel="0" collapsed="false">
      <c r="B30" s="43" t="s">
        <v>83</v>
      </c>
      <c r="C30" s="22" t="s">
        <v>126</v>
      </c>
      <c r="D30" s="46" t="s">
        <v>127</v>
      </c>
      <c r="E30" s="44" t="s">
        <v>125</v>
      </c>
    </row>
    <row r="31" customFormat="false" ht="15" hidden="false" customHeight="false" outlineLevel="0" collapsed="false">
      <c r="B31" s="43" t="s">
        <v>87</v>
      </c>
      <c r="C31" s="22" t="s">
        <v>128</v>
      </c>
      <c r="D31" s="46" t="s">
        <v>124</v>
      </c>
      <c r="E31" s="44" t="s">
        <v>129</v>
      </c>
    </row>
    <row r="32" customFormat="false" ht="15" hidden="false" customHeight="false" outlineLevel="0" collapsed="false">
      <c r="B32" s="43" t="s">
        <v>91</v>
      </c>
      <c r="C32" s="22" t="s">
        <v>81</v>
      </c>
      <c r="D32" s="46" t="s">
        <v>124</v>
      </c>
      <c r="E32" s="44" t="s">
        <v>130</v>
      </c>
    </row>
    <row r="33" customFormat="false" ht="15" hidden="false" customHeight="false" outlineLevel="0" collapsed="false">
      <c r="B33" s="43" t="s">
        <v>131</v>
      </c>
      <c r="C33" s="22" t="s">
        <v>84</v>
      </c>
      <c r="D33" s="46" t="s">
        <v>132</v>
      </c>
      <c r="E33" s="44" t="s">
        <v>133</v>
      </c>
    </row>
    <row r="34" customFormat="false" ht="15" hidden="false" customHeight="false" outlineLevel="0" collapsed="false">
      <c r="B34" s="43" t="s">
        <v>134</v>
      </c>
      <c r="C34" s="22" t="s">
        <v>135</v>
      </c>
      <c r="D34" s="46" t="s">
        <v>124</v>
      </c>
      <c r="E34" s="44" t="s">
        <v>136</v>
      </c>
    </row>
    <row r="35" customFormat="false" ht="26.85" hidden="false" customHeight="false" outlineLevel="0" collapsed="false">
      <c r="B35" s="43" t="s">
        <v>137</v>
      </c>
      <c r="C35" s="22" t="s">
        <v>138</v>
      </c>
      <c r="D35" s="46" t="s">
        <v>124</v>
      </c>
      <c r="E35" s="44" t="s">
        <v>139</v>
      </c>
    </row>
    <row r="36" customFormat="false" ht="26.85" hidden="false" customHeight="false" outlineLevel="0" collapsed="false">
      <c r="B36" s="43" t="s">
        <v>140</v>
      </c>
      <c r="C36" s="22" t="s">
        <v>141</v>
      </c>
      <c r="D36" s="46" t="s">
        <v>142</v>
      </c>
      <c r="E36" s="44" t="s">
        <v>143</v>
      </c>
    </row>
    <row r="37" customFormat="false" ht="15" hidden="false" customHeight="false" outlineLevel="0" collapsed="false">
      <c r="B37" s="43" t="s">
        <v>144</v>
      </c>
      <c r="C37" s="22" t="s">
        <v>145</v>
      </c>
      <c r="D37" s="46" t="s">
        <v>124</v>
      </c>
      <c r="E37" s="44" t="s">
        <v>146</v>
      </c>
    </row>
    <row r="38" customFormat="false" ht="15" hidden="false" customHeight="false" outlineLevel="0" collapsed="false">
      <c r="B38" s="43" t="s">
        <v>147</v>
      </c>
      <c r="C38" s="22" t="s">
        <v>148</v>
      </c>
      <c r="D38" s="46" t="s">
        <v>149</v>
      </c>
      <c r="E38" s="44" t="s">
        <v>150</v>
      </c>
    </row>
    <row r="40" customFormat="false" ht="15" hidden="false" customHeight="false" outlineLevel="0" collapsed="false">
      <c r="B40" s="10" t="s">
        <v>151</v>
      </c>
      <c r="C40" s="10"/>
      <c r="D40" s="10"/>
      <c r="E40" s="10"/>
    </row>
    <row r="41" customFormat="false" ht="15" hidden="false" customHeight="false" outlineLevel="0" collapsed="false">
      <c r="B41" s="47" t="s">
        <v>152</v>
      </c>
      <c r="C41" s="47"/>
      <c r="D41" s="47"/>
      <c r="E41" s="47"/>
    </row>
    <row r="42" customFormat="false" ht="15" hidden="false" customHeight="false" outlineLevel="0" collapsed="false">
      <c r="B42" s="48" t="s">
        <v>153</v>
      </c>
      <c r="C42" s="48"/>
      <c r="D42" s="48"/>
      <c r="E42" s="48"/>
    </row>
    <row r="43" customFormat="false" ht="15" hidden="false" customHeight="false" outlineLevel="0" collapsed="false">
      <c r="B43" s="48" t="s">
        <v>154</v>
      </c>
      <c r="C43" s="48"/>
      <c r="D43" s="48"/>
      <c r="E43" s="48"/>
    </row>
  </sheetData>
  <mergeCells count="11">
    <mergeCell ref="D1:E1"/>
    <mergeCell ref="D2:E2"/>
    <mergeCell ref="B5:E5"/>
    <mergeCell ref="B6:E6"/>
    <mergeCell ref="B8:E8"/>
    <mergeCell ref="B17:E17"/>
    <mergeCell ref="B25:E25"/>
    <mergeCell ref="B40:E40"/>
    <mergeCell ref="B41:E41"/>
    <mergeCell ref="B42:E42"/>
    <mergeCell ref="B43:E43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2026-04-28T06:06:16Z</dcterms:created>
  <dc:creator>openpyxl</dc:creator>
  <dc:description/>
  <dc:language>en-US</dc:language>
  <cp:lastModifiedBy/>
  <dcterms:modified xsi:type="dcterms:W3CDTF">2026-04-28T06:06:16Z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