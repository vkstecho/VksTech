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निर्देश" sheetId="1" state="visible" r:id="rId3"/>
    <sheet name="2. Calculator" sheetId="2" state="visible" r:id="rId4"/>
  </sheets>
  <definedNames>
    <definedName function="false" hidden="false" localSheetId="1" name="_xlnm.Print_Titles" vbProcedure="false">'2. Calculator'!$1:$5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<sst xmlns="http://schemas.openxmlformats.org/spreadsheetml/2006/main" count="49" uniqueCount="42">
  <si>
    <t xml:space="preserve">⚙ FREE INDUSTRIAL TOOLKIT — CORONA TREATMENT TOOLS</t>
  </si>
  <si>
    <t xml:space="preserve">VKS TECH</t>
  </si>
  <si>
    <t xml:space="preserve">🌐 https://vksTech.com</t>
  </si>
  <si>
    <t xml:space="preserve">Vivek Kumar (Privacy Papa) · M.Tech NIT Uttarakhand · 9+ Yrs Flexible Packaging  |  Doc Ref: VKS/CT/CALC/03</t>
  </si>
  <si>
    <t xml:space="preserve">📖 TREAT-vs-RETREAT DECISION CALCULATOR — HOW TO USE</t>
  </si>
  <si>
    <t xml:space="preserve">ट्रीट-बनाम-रीट्रीट डिसीज़न कैलकुलेटर — कैसे इस्तेमाल करें</t>
  </si>
  <si>
    <t xml:space="preserve">What this is / यह क्या है</t>
  </si>
  <si>
    <t xml:space="preserve">A decision tool that tells you whether a roll needs re-treatment (bump-treating) before conversion — based on measured dyne level, target requirement, days since treatment, and storage conditions. / यह decision tool बताता है कि conversion से पहले roll को re-treatment चाहिए या नहीं।</t>
  </si>
  <si>
    <t xml:space="preserve">How to use Tab 2 / Tab 2 कैसे use करें</t>
  </si>
  <si>
    <t xml:space="preserve">Enter 5 inputs: substrate type, measured dyne (from your dyne pen test), the process you are about to run (printing/lamination/metallising), days since the film was treated, and storage humidity level. The calculator returns a clear verdict: CONVERT AS-IS, BUMP-TREAT FIRST, or REJECT ROLL. / 5 inputs भरें।</t>
  </si>
  <si>
    <t xml:space="preserve">Why days-since-treatment matters / दिन क्यों मायने रखते हैं</t>
  </si>
  <si>
    <t xml:space="preserve">Corona treatment decays over time. A film treated 8 months ago in a humid godown may have lost significant surface energy even if it once passed. The calculator factors in decay risk alongside the raw dyne reading. / Corona treatment समय के साथ कम होती है।</t>
  </si>
  <si>
    <t xml:space="preserve">The verdict logic / फ़ैसले का तर्क</t>
  </si>
  <si>
    <t xml:space="preserve">CONVERT AS-IS: measured dyne comfortably above process target with margin. BUMP-TREAT: dyne is marginal, OR adequate but old/humid-stored (decay risk). REJECT: dyne far below target and substrate (PP/PET) cannot be reliably re-treated. / तीन फ़ैसले: as-is convert करें, bump-treat करें, या reject करें।</t>
  </si>
  <si>
    <t xml:space="preserve">⚠ Important / महत्वपूर्ण</t>
  </si>
  <si>
    <t xml:space="preserve">This tool supports the decision — it does not replace a dyne test. Always physically dyne-test the roll. And remember: over-treatment damages film. If in doubt, bump-treat at moderate power and re-test, rather than blasting maximum power. / यह tool dyne test की जगह नहीं लेता।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</si>
  <si>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</si>
  <si>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</si>
  <si>
    <t xml:space="preserve">Vivek Kumar (Privacy Papa) · M.Tech NIT Uttarakhand · 9+ Yrs Flexible Packaging  |  Doc Ref: VKS/CT/CALC/03-T2</t>
  </si>
  <si>
    <t xml:space="preserve">🧮 TREAT-vs-RETREAT DECISION CALCULATOR</t>
  </si>
  <si>
    <t xml:space="preserve">Inputs भरें — Verdict देखें</t>
  </si>
  <si>
    <t xml:space="preserve">📥 INPUTS</t>
  </si>
  <si>
    <t xml:space="preserve">1. Substrate / सब्सट्रेट</t>
  </si>
  <si>
    <t xml:space="preserve">PET</t>
  </si>
  <si>
    <t xml:space="preserve">PET, BOPP, CPP, PE, Nylon</t>
  </si>
  <si>
    <t xml:space="preserve">2. Measured dyne (cm) / मापी गई डाइन</t>
  </si>
  <si>
    <t xml:space="preserve">dyne</t>
  </si>
  <si>
    <t xml:space="preserve">From your dyne pen / test ink reading</t>
  </si>
  <si>
    <t xml:space="preserve">3. Process about to run / कौन सी प्रक्रिया</t>
  </si>
  <si>
    <t xml:space="preserve">Lamination</t>
  </si>
  <si>
    <t xml:space="preserve">Printing, Lamination, Metallising</t>
  </si>
  <si>
    <t xml:space="preserve">4. Days since film treated / ट्रीटमेंट को दिन</t>
  </si>
  <si>
    <t xml:space="preserve">days</t>
  </si>
  <si>
    <t xml:space="preserve">Approx days since extrusion/last treatment</t>
  </si>
  <si>
    <t xml:space="preserve">5. Storage humidity / स्टोरेज नमी</t>
  </si>
  <si>
    <t xml:space="preserve">Normal</t>
  </si>
  <si>
    <t xml:space="preserve">Low (AC/dry), Normal, High (monsoon/humid)</t>
  </si>
  <si>
    <t xml:space="preserve">📊 RESULTS</t>
  </si>
  <si>
    <t xml:space="preserve">Target dyne for this process / लक्ष्य डाइन</t>
  </si>
  <si>
    <t xml:space="preserve">Margin (measured − target) / मार्जिन</t>
  </si>
  <si>
    <t xml:space="preserve">Treatment decay risk / डिके जोखिम</t>
  </si>
  <si>
    <t xml:space="preserve">📌 This verdict supports your decision — it does not replace a physical dyne test. Always dyne-test the actual roll just before conversion. When bump-treating, use moderate watt density and re-test — never assume maximum power is safest. Over-treatment converts polar surface groups to non-polar ether groups and REVERSES the gain. For PP and PET that were not treated immediately after extrusion, the surface may never accept treatment well — pre-treated film from the extruder is always preferable.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</si>
</sst>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+0;\-0;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1A2744"/>
      <name val="Arial"/>
      <family val="0"/>
      <charset val="1"/>
    </font>
    <font>
      <b val="true"/>
      <sz val="11"/>
      <color rgb="FFE85D2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0D8C7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8E5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E8EBF1"/>
      </patternFill>
    </fill>
    <fill>
      <patternFill patternType="solid">
        <fgColor rgb="FFFFF8E5"/>
        <bgColor rgb="FFFFFFFF"/>
      </patternFill>
    </fill>
    <fill>
      <patternFill patternType="solid">
        <fgColor rgb="FFE8EBF1"/>
        <bgColor rgb="FFF4EDE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8E5"/>
      <rgbColor rgb="FFE8E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4" hidden="false" customHeight="true" outlineLevel="0" collapsed="false">
      <c r="A7" s="7" t="s">
        <v>5</v>
      </c>
      <c r="B7" s="7"/>
      <c r="C7" s="7"/>
      <c r="D7" s="7"/>
      <c r="E7" s="7"/>
      <c r="F7" s="7"/>
    </row>
    <row r="9" customFormat="false" ht="15" hidden="false" customHeight="true" outlineLevel="0" collapsed="false">
      <c r="A9" s="8" t="s">
        <v>6</v>
      </c>
      <c r="B9" s="8"/>
      <c r="C9" s="8"/>
      <c r="D9" s="8"/>
      <c r="E9" s="8"/>
      <c r="F9" s="8"/>
    </row>
    <row r="10" customFormat="false" ht="61.5" hidden="false" customHeight="true" outlineLevel="0" collapsed="false">
      <c r="A10" s="9" t="s">
        <v>7</v>
      </c>
      <c r="B10" s="9"/>
      <c r="C10" s="9"/>
      <c r="D10" s="9"/>
      <c r="E10" s="9"/>
      <c r="F10" s="9"/>
    </row>
    <row r="12" customFormat="false" ht="15" hidden="false" customHeight="true" outlineLevel="0" collapsed="false">
      <c r="A12" s="8" t="s">
        <v>8</v>
      </c>
      <c r="B12" s="8"/>
      <c r="C12" s="8"/>
      <c r="D12" s="8"/>
      <c r="E12" s="8"/>
      <c r="F12" s="8"/>
    </row>
    <row r="13" customFormat="false" ht="61.5" hidden="false" customHeight="true" outlineLevel="0" collapsed="false">
      <c r="A13" s="9" t="s">
        <v>9</v>
      </c>
      <c r="B13" s="9"/>
      <c r="C13" s="9"/>
      <c r="D13" s="9"/>
      <c r="E13" s="9"/>
      <c r="F13" s="9"/>
    </row>
    <row r="15" customFormat="false" ht="15" hidden="false" customHeight="true" outlineLevel="0" collapsed="false">
      <c r="A15" s="8" t="s">
        <v>10</v>
      </c>
      <c r="B15" s="8"/>
      <c r="C15" s="8"/>
      <c r="D15" s="8"/>
      <c r="E15" s="8"/>
      <c r="F15" s="8"/>
    </row>
    <row r="16" customFormat="false" ht="61.5" hidden="false" customHeight="true" outlineLevel="0" collapsed="false">
      <c r="A16" s="9" t="s">
        <v>11</v>
      </c>
      <c r="B16" s="9"/>
      <c r="C16" s="9"/>
      <c r="D16" s="9"/>
      <c r="E16" s="9"/>
      <c r="F16" s="9"/>
    </row>
    <row r="18" customFormat="false" ht="15" hidden="false" customHeight="true" outlineLevel="0" collapsed="false">
      <c r="A18" s="8" t="s">
        <v>12</v>
      </c>
      <c r="B18" s="8"/>
      <c r="C18" s="8"/>
      <c r="D18" s="8"/>
      <c r="E18" s="8"/>
      <c r="F18" s="8"/>
    </row>
    <row r="19" customFormat="false" ht="61.5" hidden="false" customHeight="true" outlineLevel="0" collapsed="false">
      <c r="A19" s="9" t="s">
        <v>13</v>
      </c>
      <c r="B19" s="9"/>
      <c r="C19" s="9"/>
      <c r="D19" s="9"/>
      <c r="E19" s="9"/>
      <c r="F19" s="9"/>
    </row>
    <row r="21" customFormat="false" ht="15" hidden="false" customHeight="true" outlineLevel="0" collapsed="false">
      <c r="A21" s="8" t="s">
        <v>14</v>
      </c>
      <c r="B21" s="8"/>
      <c r="C21" s="8"/>
      <c r="D21" s="8"/>
      <c r="E21" s="8"/>
      <c r="F21" s="8"/>
    </row>
    <row r="22" customFormat="false" ht="61.5" hidden="false" customHeight="true" outlineLevel="0" collapsed="false">
      <c r="A22" s="9" t="s">
        <v>15</v>
      </c>
      <c r="B22" s="9"/>
      <c r="C22" s="9"/>
      <c r="D22" s="9"/>
      <c r="E22" s="9"/>
      <c r="F22" s="9"/>
    </row>
    <row r="25" customFormat="false" ht="3.75" hidden="false" customHeight="true" outlineLevel="0" collapsed="false">
      <c r="A25" s="10"/>
      <c r="B25" s="10"/>
      <c r="C25" s="10"/>
      <c r="D25" s="10"/>
      <c r="E25" s="10"/>
      <c r="F25" s="10"/>
    </row>
    <row r="26" customFormat="false" ht="19.5" hidden="false" customHeight="true" outlineLevel="0" collapsed="false">
      <c r="A26" s="11" t="s">
        <v>16</v>
      </c>
      <c r="B26" s="11"/>
      <c r="C26" s="11"/>
      <c r="D26" s="11"/>
      <c r="E26" s="11"/>
      <c r="F26" s="11"/>
    </row>
    <row r="27" customFormat="false" ht="21.75" hidden="false" customHeight="true" outlineLevel="0" collapsed="false">
      <c r="A27" s="12" t="s">
        <v>17</v>
      </c>
      <c r="B27" s="12"/>
      <c r="C27" s="12"/>
      <c r="D27" s="12"/>
      <c r="E27" s="12"/>
      <c r="F27" s="12"/>
    </row>
  </sheetData>
  <mergeCells count="20">
    <mergeCell ref="A1:A4"/>
    <mergeCell ref="B1:F1"/>
    <mergeCell ref="B2:F2"/>
    <mergeCell ref="B3:F3"/>
    <mergeCell ref="B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6" min="5" style="0" width="18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18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13" t="s">
        <v>19</v>
      </c>
      <c r="B6" s="13"/>
      <c r="C6" s="13"/>
      <c r="D6" s="13"/>
      <c r="E6" s="13"/>
      <c r="F6" s="13"/>
    </row>
    <row r="7" customFormat="false" ht="21.75" hidden="false" customHeight="true" outlineLevel="0" collapsed="false">
      <c r="A7" s="7" t="s">
        <v>20</v>
      </c>
      <c r="B7" s="7"/>
      <c r="C7" s="7"/>
      <c r="D7" s="7"/>
      <c r="E7" s="7"/>
      <c r="F7" s="7"/>
    </row>
    <row r="9" customFormat="false" ht="24" hidden="false" customHeight="true" outlineLevel="0" collapsed="false">
      <c r="A9" s="14" t="s">
        <v>21</v>
      </c>
      <c r="B9" s="14"/>
      <c r="C9" s="14"/>
      <c r="D9" s="14"/>
      <c r="E9" s="14"/>
      <c r="F9" s="14"/>
    </row>
    <row r="10" customFormat="false" ht="30" hidden="false" customHeight="true" outlineLevel="0" collapsed="false">
      <c r="A10" s="15" t="s">
        <v>22</v>
      </c>
      <c r="B10" s="15"/>
      <c r="C10" s="16" t="s">
        <v>23</v>
      </c>
      <c r="D10" s="17"/>
      <c r="E10" s="18" t="s">
        <v>24</v>
      </c>
      <c r="F10" s="18"/>
    </row>
    <row r="11" customFormat="false" ht="30" hidden="false" customHeight="true" outlineLevel="0" collapsed="false">
      <c r="A11" s="15" t="s">
        <v>25</v>
      </c>
      <c r="B11" s="15"/>
      <c r="C11" s="16" t="n">
        <v>40</v>
      </c>
      <c r="D11" s="17" t="s">
        <v>26</v>
      </c>
      <c r="E11" s="18" t="s">
        <v>27</v>
      </c>
      <c r="F11" s="18"/>
    </row>
    <row r="12" customFormat="false" ht="30" hidden="false" customHeight="true" outlineLevel="0" collapsed="false">
      <c r="A12" s="15" t="s">
        <v>28</v>
      </c>
      <c r="B12" s="15"/>
      <c r="C12" s="16" t="s">
        <v>29</v>
      </c>
      <c r="D12" s="17"/>
      <c r="E12" s="18" t="s">
        <v>30</v>
      </c>
      <c r="F12" s="18"/>
    </row>
    <row r="13" customFormat="false" ht="30" hidden="false" customHeight="true" outlineLevel="0" collapsed="false">
      <c r="A13" s="15" t="s">
        <v>31</v>
      </c>
      <c r="B13" s="15"/>
      <c r="C13" s="16" t="n">
        <v>60</v>
      </c>
      <c r="D13" s="17" t="s">
        <v>32</v>
      </c>
      <c r="E13" s="18" t="s">
        <v>33</v>
      </c>
      <c r="F13" s="18"/>
    </row>
    <row r="14" customFormat="false" ht="30" hidden="false" customHeight="true" outlineLevel="0" collapsed="false">
      <c r="A14" s="15" t="s">
        <v>34</v>
      </c>
      <c r="B14" s="15"/>
      <c r="C14" s="16" t="s">
        <v>35</v>
      </c>
      <c r="D14" s="17"/>
      <c r="E14" s="18" t="s">
        <v>36</v>
      </c>
      <c r="F14" s="18"/>
    </row>
    <row r="16" customFormat="false" ht="25.5" hidden="false" customHeight="true" outlineLevel="0" collapsed="false">
      <c r="A16" s="19" t="s">
        <v>37</v>
      </c>
      <c r="B16" s="19"/>
      <c r="C16" s="19"/>
      <c r="D16" s="19"/>
      <c r="E16" s="19"/>
      <c r="F16" s="19"/>
    </row>
    <row r="17" customFormat="false" ht="31.5" hidden="false" customHeight="true" outlineLevel="0" collapsed="false">
      <c r="A17" s="20" t="s">
        <v>38</v>
      </c>
      <c r="B17" s="20"/>
      <c r="C17" s="21" t="n">
        <f aca="false">IF(C12="Printing",IF(C10="PET",42,IF(C10="Nylon",52,38)),IF(C12="Lamination",IF(C10="PET",44,IF(C10="Nylon",50,IF(C10="PE",42,40))),IF(C10="PET",44,40)))</f>
        <v>44</v>
      </c>
      <c r="D17" s="22" t="s">
        <v>26</v>
      </c>
      <c r="E17" s="23"/>
      <c r="F17" s="23"/>
    </row>
    <row r="18" customFormat="false" ht="31.5" hidden="false" customHeight="true" outlineLevel="0" collapsed="false">
      <c r="A18" s="20" t="s">
        <v>39</v>
      </c>
      <c r="B18" s="20"/>
      <c r="C18" s="24" t="n">
        <f aca="false">C11-C17</f>
        <v>-4</v>
      </c>
      <c r="D18" s="22" t="s">
        <v>26</v>
      </c>
      <c r="E18" s="23"/>
      <c r="F18" s="23"/>
    </row>
    <row r="19" customFormat="false" ht="31.5" hidden="false" customHeight="true" outlineLevel="0" collapsed="false">
      <c r="A19" s="20" t="s">
        <v>40</v>
      </c>
      <c r="B19" s="20"/>
      <c r="C19" s="21" t="str">
        <f aca="false">IF(OR(C13&gt;120,AND(C13&gt;60,C14="High")),"HIGH",IF(OR(C13&gt;60,C14="High"),"MEDIUM","LOW"))</f>
        <v>LOW</v>
      </c>
      <c r="D19" s="25"/>
      <c r="E19" s="23"/>
      <c r="F19" s="23"/>
    </row>
    <row r="21" customFormat="false" ht="55.5" hidden="false" customHeight="true" outlineLevel="0" collapsed="false">
      <c r="A21" s="26" t="str">
        <f aca="false">IF(C18&lt;-6,"❌ REJECT ROLL — dyne far below target. Surface energy cannot be reliably recovered. Quarantine and return to supplier.",IF(AND(C18&lt;-2,OR(C10="BOPP",C10="CPP")),"❌ REJECT or ESCALATE — PP-family film well below target is hard to bump-treat to a reliable level. Quarantine for QC review.",IF(AND(C18&gt;=3,C19&lt;&gt;"HIGH"),"✅ CONVERT AS-IS — dyne is above target with margin and decay risk is acceptable. Proceed, but spot-check dyne during the run.","⚠ BUMP-TREAT FIRST — dyne is marginal or decay risk is high. Run inline corona at moderate power, re-test dyne, then convert. Do not over-treat.")))</f>
        <v>⚠ BUMP-TREAT FIRST — dyne is marginal or decay risk is high. Run inline corona at moderate power, re-test dyne, then convert. Do not over-treat.</v>
      </c>
      <c r="B21" s="26"/>
      <c r="C21" s="26"/>
      <c r="D21" s="26"/>
      <c r="E21" s="26"/>
      <c r="F21" s="26"/>
    </row>
    <row r="23" customFormat="false" ht="72" hidden="false" customHeight="true" outlineLevel="0" collapsed="false">
      <c r="A23" s="27" t="s">
        <v>41</v>
      </c>
      <c r="B23" s="27"/>
      <c r="C23" s="27"/>
      <c r="D23" s="27"/>
      <c r="E23" s="27"/>
      <c r="F23" s="27"/>
    </row>
    <row r="25" customFormat="false" ht="3.75" hidden="false" customHeight="true" outlineLevel="0" collapsed="false">
      <c r="A25" s="10"/>
      <c r="B25" s="10"/>
      <c r="C25" s="10"/>
      <c r="D25" s="10"/>
      <c r="E25" s="10"/>
      <c r="F25" s="10"/>
    </row>
    <row r="26" customFormat="false" ht="19.5" hidden="false" customHeight="true" outlineLevel="0" collapsed="false">
      <c r="A26" s="11" t="s">
        <v>16</v>
      </c>
      <c r="B26" s="11"/>
      <c r="C26" s="11"/>
      <c r="D26" s="11"/>
      <c r="E26" s="11"/>
      <c r="F26" s="11"/>
    </row>
    <row r="27" customFormat="false" ht="21.75" hidden="false" customHeight="true" outlineLevel="0" collapsed="false">
      <c r="A27" s="12" t="s">
        <v>17</v>
      </c>
      <c r="B27" s="12"/>
      <c r="C27" s="12"/>
      <c r="D27" s="12"/>
      <c r="E27" s="12"/>
      <c r="F27" s="12"/>
    </row>
  </sheetData>
  <mergeCells count="30">
    <mergeCell ref="A1:A4"/>
    <mergeCell ref="B1:F1"/>
    <mergeCell ref="B2:F2"/>
    <mergeCell ref="B3:F3"/>
    <mergeCell ref="B4:F4"/>
    <mergeCell ref="A6:F6"/>
    <mergeCell ref="A7:F7"/>
    <mergeCell ref="A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6:F16"/>
    <mergeCell ref="A17:B17"/>
    <mergeCell ref="E17:F17"/>
    <mergeCell ref="A18:B18"/>
    <mergeCell ref="E18:F18"/>
    <mergeCell ref="A19:B19"/>
    <mergeCell ref="E19:F19"/>
    <mergeCell ref="A21:F21"/>
    <mergeCell ref="A23:F23"/>
    <mergeCell ref="A25:F25"/>
    <mergeCell ref="A26:F26"/>
    <mergeCell ref="A27:F27"/>
  </mergeCells>
  <dataValidations count="3">
    <dataValidation allowBlank="false" errorStyle="stop" operator="between" showDropDown="false" showErrorMessage="false" showInputMessage="false" sqref="C10" type="list">
      <formula1>"PET,BOPP,CPP,PE,Nylon"</formula1>
      <formula2>0</formula2>
    </dataValidation>
    <dataValidation allowBlank="false" errorStyle="stop" operator="between" showDropDown="false" showErrorMessage="false" showInputMessage="false" sqref="C12" type="list">
      <formula1>"Printing,Lamination,Metallising"</formula1>
      <formula2>0</formula2>
    </dataValidation>
    <dataValidation allowBlank="false" errorStyle="stop" operator="between" showDropDown="false" showErrorMessage="false" showInputMessage="false" sqref="C14" type="list">
      <formula1>"Low,Normal,High"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2026-05-18T02:06:42Z</dcterms:created>
  <dc:creator>openpyxl</dc:creator>
  <dc:description/>
  <dc:language>en-US</dc:language>
  <cp:lastModifiedBy/>
  <dcterms:modified xsi:type="dcterms:W3CDTF">2026-05-18T02:06:42Z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