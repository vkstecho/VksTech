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Scenarios" sheetId="2" state="visible" r:id="rId4"/>
    <sheet name="Method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<sst xmlns="http://schemas.openxmlformats.org/spreadsheetml/2006/main" count="165" uniqueCount="136">
  <si>
    <t xml:space="preserve">VKS Tech SMED Savings Calculator</t>
  </si>
  <si>
    <t xml:space="preserve">Inter-Cycle Roll Changeover SMED — Plant Savings Projection</t>
  </si>
  <si>
    <t xml:space="preserve">🔵 INPUTS — Change values in BLUE cells to match your plant</t>
  </si>
  <si>
    <t xml:space="preserve">Current Average Changeover Time</t>
  </si>
  <si>
    <t xml:space="preserve">min</t>
  </si>
  <si>
    <t xml:space="preserve">Your current per-cycle setup time (measure 100 cycles)</t>
  </si>
  <si>
    <t xml:space="preserve">Target Changeover Time</t>
  </si>
  <si>
    <t xml:space="preserve">Realistic target after SMED project (typically 50% of current)</t>
  </si>
  <si>
    <t xml:space="preserve">Cycles per Day per Machine</t>
  </si>
  <si>
    <t xml:space="preserve">cycles</t>
  </si>
  <si>
    <t xml:space="preserve">Inter-cycle changeovers per day per machine (typically 12-15)</t>
  </si>
  <si>
    <t xml:space="preserve">Number of Machines</t>
  </si>
  <si>
    <t xml:space="preserve">machines</t>
  </si>
  <si>
    <t xml:space="preserve">How many metallisers in your plant</t>
  </si>
  <si>
    <t xml:space="preserve">Operating Days per Month</t>
  </si>
  <si>
    <t xml:space="preserve">days</t>
  </si>
  <si>
    <t xml:space="preserve">Plant operating days per month (typically 28-30)</t>
  </si>
  <si>
    <t xml:space="preserve">Contribution Margin per Jumbo</t>
  </si>
  <si>
    <t xml:space="preserve">₹</t>
  </si>
  <si>
    <t xml:space="preserve">Margin per metallised jumbo (typically ₹15,000-20,000)</t>
  </si>
  <si>
    <t xml:space="preserve">Downstream Capture Rate</t>
  </si>
  <si>
    <t xml:space="preserve">%</t>
  </si>
  <si>
    <t xml:space="preserve">Fraction of recovered time that becomes extra jumbos (typically 30-40%)</t>
  </si>
  <si>
    <t xml:space="preserve">Average Jumbo Run Time</t>
  </si>
  <si>
    <t xml:space="preserve">Time to produce one jumbo at full speed (typically 75-90 min)</t>
  </si>
  <si>
    <t xml:space="preserve">⚫ OUTPUTS — Time Recovered (auto-calculated from inputs)</t>
  </si>
  <si>
    <t xml:space="preserve">Time Saved per Cycle</t>
  </si>
  <si>
    <t xml:space="preserve">Difference between current and target</t>
  </si>
  <si>
    <t xml:space="preserve">Time Saved per Day per Machine</t>
  </si>
  <si>
    <t xml:space="preserve">Cycles per day × time saved per cycle</t>
  </si>
  <si>
    <t xml:space="preserve">Time Saved per Day per Plant</t>
  </si>
  <si>
    <t xml:space="preserve">Multiply by number of machines</t>
  </si>
  <si>
    <t xml:space="preserve">Time Saved per Month per Plant</t>
  </si>
  <si>
    <t xml:space="preserve">Daily × operating days per month</t>
  </si>
  <si>
    <t xml:space="preserve">Time Saved per Month per Plant (hours)</t>
  </si>
  <si>
    <t xml:space="preserve">hr</t>
  </si>
  <si>
    <t xml:space="preserve">Convert to hours for readability</t>
  </si>
  <si>
    <t xml:space="preserve">💰 OUTPUTS — Production &amp; Financial Impact</t>
  </si>
  <si>
    <t xml:space="preserve">Theoretical Extra Jumbos per Month (Plant)</t>
  </si>
  <si>
    <t xml:space="preserve">jumbos</t>
  </si>
  <si>
    <t xml:space="preserve">Time saved divided by jumbo run time</t>
  </si>
  <si>
    <t xml:space="preserve">Realistic Extra Jumbos per Month (with capture rate)</t>
  </si>
  <si>
    <t xml:space="preserve">Theoretical × downstream capture rate</t>
  </si>
  <si>
    <t xml:space="preserve">Additional Monthly Margin</t>
  </si>
  <si>
    <t xml:space="preserve">Realistic jumbos × contribution margin</t>
  </si>
  <si>
    <t xml:space="preserve">Additional Annual Margin</t>
  </si>
  <si>
    <t xml:space="preserve">Monthly × 12</t>
  </si>
  <si>
    <t xml:space="preserve">📊 OUTPUTS — OEE Improvement</t>
  </si>
  <si>
    <t xml:space="preserve">Current Setup Time as % of Day (per machine)</t>
  </si>
  <si>
    <t xml:space="preserve">pct</t>
  </si>
  <si>
    <t xml:space="preserve">Setup minutes ÷ 1,440 min/day</t>
  </si>
  <si>
    <t xml:space="preserve">Target Setup Time as % of Day (per machine)</t>
  </si>
  <si>
    <t xml:space="preserve">After SMED</t>
  </si>
  <si>
    <t xml:space="preserve">OEE Availability Improvement</t>
  </si>
  <si>
    <t xml:space="preserve">pp</t>
  </si>
  <si>
    <t xml:space="preserve">Percentage points recovered</t>
  </si>
  <si>
    <t xml:space="preserve">HEADLINE RESULT (auto-updates as you change inputs above)</t>
  </si>
  <si>
    <t xml:space="preserve">NOTES &amp; ASSUMPTIONS</t>
  </si>
  <si>
    <t xml:space="preserve">• Color coding: BLUE cells = user inputs (change these). BLACK cells = formulas (auto-calculated).</t>
  </si>
  <si>
    <t xml:space="preserve">• Yellow background marks key assumption cells. Override with your plant-specific values.</t>
  </si>
  <si>
    <t xml:space="preserve">• "Theoretical jumbos" = pure time-recovered ÷ jumbo run time (upper bound).</t>
  </si>
  <si>
    <t xml:space="preserve">• "Realistic jumbos" = theoretical × downstream capture rate (typically 30-40%).</t>
  </si>
  <si>
    <t xml:space="preserve">• OEE Availability = (Total Time - Setup Time) ÷ Total Time. SMED reduces Setup, improves OEE.</t>
  </si>
  <si>
    <t xml:space="preserve">• For boat-set changeover (separate event), use a similar sheet with cycles/day = ~1.34 instead.</t>
  </si>
  <si>
    <t xml:space="preserve">• Source methodology: 2016 MET-4 Roll Changeover Project (real plant data).</t>
  </si>
  <si>
    <t xml:space="preserve">• See VKS Tech blog #23 "When Operators Said No Scope for Improvement" for the full case study.</t>
  </si>
  <si>
    <t xml:space="preserve">Scenario Comparison — 3 Plant Sizes</t>
  </si>
  <si>
    <t xml:space="preserve">Compare expected savings for small, medium, and large metalliser plants</t>
  </si>
  <si>
    <t xml:space="preserve">Parameter</t>
  </si>
  <si>
    <t xml:space="preserve">Small Plant
(1 machine)</t>
  </si>
  <si>
    <t xml:space="preserve">Medium Plant
(2 machines)</t>
  </si>
  <si>
    <t xml:space="preserve">Large Plant
(4 machines)</t>
  </si>
  <si>
    <t xml:space="preserve">Notes</t>
  </si>
  <si>
    <t xml:space="preserve">Current Avg Changeover Time (min)</t>
  </si>
  <si>
    <t xml:space="preserve">From your 100-cycle measurement</t>
  </si>
  <si>
    <t xml:space="preserve">Target Time (min)</t>
  </si>
  <si>
    <t xml:space="preserve">Standard SMED target</t>
  </si>
  <si>
    <t xml:space="preserve">Typical inter-cycle frequency</t>
  </si>
  <si>
    <t xml:space="preserve">Plant size variable</t>
  </si>
  <si>
    <t xml:space="preserve">Margin per Jumbo (₹)</t>
  </si>
  <si>
    <t xml:space="preserve">Jumbo Run Time (min)</t>
  </si>
  <si>
    <t xml:space="preserve">CALCULATED OUTPUTS</t>
  </si>
  <si>
    <t xml:space="preserve">Time Saved per Day per Plant (min)</t>
  </si>
  <si>
    <t xml:space="preserve">Cycles × machines × time saved</t>
  </si>
  <si>
    <t xml:space="preserve">Time Saved per Month per Plant (min)</t>
  </si>
  <si>
    <t xml:space="preserve">Daily × operating days</t>
  </si>
  <si>
    <t xml:space="preserve">Convert to hours</t>
  </si>
  <si>
    <t xml:space="preserve">Theoretical Extra Jumbos/Month</t>
  </si>
  <si>
    <t xml:space="preserve">Time saved ÷ run time</t>
  </si>
  <si>
    <t xml:space="preserve">Realistic Extra Jumbos/Month</t>
  </si>
  <si>
    <t xml:space="preserve">Theoretical × capture rate</t>
  </si>
  <si>
    <t xml:space="preserve">Additional Monthly Margin (₹)</t>
  </si>
  <si>
    <t xml:space="preserve">Realistic × margin</t>
  </si>
  <si>
    <t xml:space="preserve">Additional Annual Margin (₹)</t>
  </si>
  <si>
    <t xml:space="preserve">Percentage points</t>
  </si>
  <si>
    <t xml:space="preserve">Inter-Cycle SMED Method — Quick Reference</t>
  </si>
  <si>
    <t xml:space="preserve">13 documented improvements from 2016 MET-4 project</t>
  </si>
  <si>
    <t xml:space="preserve">#</t>
  </si>
  <si>
    <t xml:space="preserve">Improvement</t>
  </si>
  <si>
    <t xml:space="preserve">ECRS Type</t>
  </si>
  <si>
    <t xml:space="preserve">Saving per Cycle</t>
  </si>
  <si>
    <t xml:space="preserve">Winding alignment check after chamber opening removed from SOP</t>
  </si>
  <si>
    <t xml:space="preserve">E</t>
  </si>
  <si>
    <t xml:space="preserve">25 sec</t>
  </si>
  <si>
    <t xml:space="preserve">Wire kept ready before chamber opening (not fetched after)</t>
  </si>
  <si>
    <t xml:space="preserve">R</t>
  </si>
  <si>
    <t xml:space="preserve">90 sec</t>
  </si>
  <si>
    <t xml:space="preserve">Roll lifted with crane before chamber opening</t>
  </si>
  <si>
    <t xml:space="preserve">30 sec</t>
  </si>
  <si>
    <t xml:space="preserve">Roll dressed and double joint tape pasted before chamber opening</t>
  </si>
  <si>
    <t xml:space="preserve">50 sec</t>
  </si>
  <si>
    <t xml:space="preserve">Apron with graphite tape and tools provided to operators</t>
  </si>
  <si>
    <t xml:space="preserve">S</t>
  </si>
  <si>
    <t xml:space="preserve">~30 sec</t>
  </si>
  <si>
    <t xml:space="preserve">Operator enters chamber with two wires (not without)</t>
  </si>
  <si>
    <t xml:space="preserve">Wire cutting + guide pipe mouth cleaning simultaneous</t>
  </si>
  <si>
    <t xml:space="preserve">C</t>
  </si>
  <si>
    <t xml:space="preserve">80 sec</t>
  </si>
  <si>
    <t xml:space="preserve">Rewinder/unwinder film cut as chamber opens (not after)</t>
  </si>
  <si>
    <t xml:space="preserve">Tray used for shutter cleaning (replaces air cleaning)</t>
  </si>
  <si>
    <t xml:space="preserve">35 sec</t>
  </si>
  <si>
    <t xml:space="preserve">New tool for boat surface and clamp cleaning</t>
  </si>
  <si>
    <t xml:space="preserve">60 sec</t>
  </si>
  <si>
    <t xml:space="preserve">Wire feeder running by hand removed from SOP</t>
  </si>
  <si>
    <t xml:space="preserve">Guide pipe wire brush cleaning step removed</t>
  </si>
  <si>
    <t xml:space="preserve">40 sec</t>
  </si>
  <si>
    <t xml:space="preserve">Custom clamp cleaner: 3 clamps/min vs 30 sec/clamp manual</t>
  </si>
  <si>
    <t xml:space="preserve">~60 sec</t>
  </si>
  <si>
    <t xml:space="preserve">Trough cleaning every 2 cycles instead of every cycle (Frequency)</t>
  </si>
  <si>
    <t xml:space="preserve">Freq</t>
  </si>
  <si>
    <t xml:space="preserve">~120 sec/cy avg</t>
  </si>
  <si>
    <t xml:space="preserve">Total</t>
  </si>
  <si>
    <t xml:space="preserve">13 ECRS improvements + 1 frequency change</t>
  </si>
  <si>
    <t xml:space="preserve">All</t>
  </si>
  <si>
    <t xml:space="preserve">~12 min/cycle</t>
  </si>
  <si>
    <t xml:space="preserve">ECRS Legend: E = Eliminate | C = Combine | R = Rearrange | S = Simplify | Freq = Frequency change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</si>
</sst>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\₹#,##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A2744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A27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1A2744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1A2744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2744"/>
        <bgColor rgb="FF003366"/>
      </patternFill>
    </fill>
    <fill>
      <patternFill patternType="solid">
        <fgColor rgb="FFE85D26"/>
        <bgColor rgb="FFFF8080"/>
      </patternFill>
    </fill>
    <fill>
      <patternFill patternType="solid">
        <fgColor rgb="FF0D8C7E"/>
        <bgColor rgb="FF008080"/>
      </patternFill>
    </fill>
    <fill>
      <patternFill patternType="solid">
        <fgColor rgb="FFE0F2F1"/>
        <bgColor rgb="FFE8F5E9"/>
      </patternFill>
    </fill>
    <fill>
      <patternFill patternType="solid">
        <fgColor rgb="FFFFFFCC"/>
        <bgColor rgb="FFFFF8E1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2E8B57"/>
        <bgColor rgb="FF0D8C7E"/>
      </patternFill>
    </fill>
    <fill>
      <patternFill patternType="solid">
        <fgColor rgb="FFE8F5E9"/>
        <bgColor rgb="FFE0F2F1"/>
      </patternFill>
    </fill>
    <fill>
      <patternFill patternType="solid">
        <fgColor rgb="FFFFE5D9"/>
        <bgColor rgb="FFFFF8E1"/>
      </patternFill>
    </fill>
    <fill>
      <patternFill patternType="solid">
        <fgColor rgb="FF7B3FA0"/>
        <bgColor rgb="FF993366"/>
      </patternFill>
    </fill>
    <fill>
      <patternFill patternType="solid">
        <fgColor rgb="FFD4A017"/>
        <bgColor rgb="FFFFCC00"/>
      </patternFill>
    </fill>
    <fill>
      <patternFill patternType="solid">
        <fgColor rgb="FFFFF8E1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>
        <color rgb="FF1A2744"/>
      </left>
      <right style="medium">
        <color rgb="FF1A2744"/>
      </right>
      <top style="medium">
        <color rgb="FF1A2744"/>
      </top>
      <bottom style="medium">
        <color rgb="FF1A2744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08080"/>
      <rgbColor rgb="FF9999FF"/>
      <rgbColor rgb="FF7B3FA0"/>
      <rgbColor rgb="FFFFFFCC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F8E1"/>
      <rgbColor rgb="FF99CCFF"/>
      <rgbColor rgb="FFFF99CC"/>
      <rgbColor rgb="FFCC99FF"/>
      <rgbColor rgb="FFFFE5D9"/>
      <rgbColor rgb="FF3366FF"/>
      <rgbColor rgb="FF33CCCC"/>
      <rgbColor rgb="FF99CC00"/>
      <rgbColor rgb="FFFFCC00"/>
      <rgbColor rgb="FFD4A017"/>
      <rgbColor rgb="FFE85D26"/>
      <rgbColor rgb="FF666666"/>
      <rgbColor rgb="FF999999"/>
      <rgbColor rgb="FF003366"/>
      <rgbColor rgb="FF2E8B57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2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5" t="n">
        <v>28.5</v>
      </c>
      <c r="C5" s="6" t="s">
        <v>4</v>
      </c>
      <c r="D5" s="7" t="s">
        <v>5</v>
      </c>
      <c r="E5" s="7"/>
      <c r="F5" s="7"/>
    </row>
    <row r="6" customFormat="false" ht="15" hidden="false" customHeight="true" outlineLevel="0" collapsed="false">
      <c r="A6" s="4" t="s">
        <v>6</v>
      </c>
      <c r="B6" s="5" t="n">
        <v>15</v>
      </c>
      <c r="C6" s="6" t="s">
        <v>4</v>
      </c>
      <c r="D6" s="7" t="s">
        <v>7</v>
      </c>
      <c r="E6" s="7"/>
      <c r="F6" s="7"/>
    </row>
    <row r="7" customFormat="false" ht="15" hidden="false" customHeight="true" outlineLevel="0" collapsed="false">
      <c r="A7" s="4" t="s">
        <v>8</v>
      </c>
      <c r="B7" s="5" t="n">
        <v>12</v>
      </c>
      <c r="C7" s="6" t="s">
        <v>9</v>
      </c>
      <c r="D7" s="7" t="s">
        <v>10</v>
      </c>
      <c r="E7" s="7"/>
      <c r="F7" s="7"/>
    </row>
    <row r="8" customFormat="false" ht="15" hidden="false" customHeight="true" outlineLevel="0" collapsed="false">
      <c r="A8" s="4" t="s">
        <v>11</v>
      </c>
      <c r="B8" s="5" t="n">
        <v>2</v>
      </c>
      <c r="C8" s="6" t="s">
        <v>12</v>
      </c>
      <c r="D8" s="7" t="s">
        <v>13</v>
      </c>
      <c r="E8" s="7"/>
      <c r="F8" s="7"/>
    </row>
    <row r="9" customFormat="false" ht="15" hidden="false" customHeight="true" outlineLevel="0" collapsed="false">
      <c r="A9" s="4" t="s">
        <v>14</v>
      </c>
      <c r="B9" s="5" t="n">
        <v>30</v>
      </c>
      <c r="C9" s="6" t="s">
        <v>15</v>
      </c>
      <c r="D9" s="7" t="s">
        <v>16</v>
      </c>
      <c r="E9" s="7"/>
      <c r="F9" s="7"/>
    </row>
    <row r="10" customFormat="false" ht="15" hidden="false" customHeight="true" outlineLevel="0" collapsed="false">
      <c r="A10" s="4" t="s">
        <v>17</v>
      </c>
      <c r="B10" s="8" t="n">
        <v>17500</v>
      </c>
      <c r="C10" s="6" t="s">
        <v>18</v>
      </c>
      <c r="D10" s="7" t="s">
        <v>19</v>
      </c>
      <c r="E10" s="7"/>
      <c r="F10" s="7"/>
    </row>
    <row r="11" customFormat="false" ht="15" hidden="false" customHeight="true" outlineLevel="0" collapsed="false">
      <c r="A11" s="4" t="s">
        <v>20</v>
      </c>
      <c r="B11" s="9" t="n">
        <v>0.35</v>
      </c>
      <c r="C11" s="6" t="s">
        <v>21</v>
      </c>
      <c r="D11" s="7" t="s">
        <v>22</v>
      </c>
      <c r="E11" s="7"/>
      <c r="F11" s="7"/>
    </row>
    <row r="12" customFormat="false" ht="15" hidden="false" customHeight="true" outlineLevel="0" collapsed="false">
      <c r="A12" s="4" t="s">
        <v>23</v>
      </c>
      <c r="B12" s="5" t="n">
        <v>80</v>
      </c>
      <c r="C12" s="6" t="s">
        <v>4</v>
      </c>
      <c r="D12" s="7" t="s">
        <v>24</v>
      </c>
      <c r="E12" s="7"/>
      <c r="F12" s="7"/>
    </row>
    <row r="14" customFormat="false" ht="24" hidden="false" customHeight="true" outlineLevel="0" collapsed="false">
      <c r="A14" s="10" t="s">
        <v>25</v>
      </c>
      <c r="B14" s="10"/>
      <c r="C14" s="10"/>
      <c r="D14" s="10"/>
      <c r="E14" s="10"/>
      <c r="F14" s="10"/>
    </row>
    <row r="15" customFormat="false" ht="15" hidden="false" customHeight="true" outlineLevel="0" collapsed="false">
      <c r="A15" s="11" t="s">
        <v>26</v>
      </c>
      <c r="B15" s="12" t="n">
        <f aca="false">B5-B6</f>
        <v>13.5</v>
      </c>
      <c r="C15" s="6" t="s">
        <v>4</v>
      </c>
      <c r="D15" s="7" t="s">
        <v>27</v>
      </c>
      <c r="E15" s="7"/>
      <c r="F15" s="7"/>
    </row>
    <row r="16" customFormat="false" ht="15" hidden="false" customHeight="true" outlineLevel="0" collapsed="false">
      <c r="A16" s="11" t="s">
        <v>28</v>
      </c>
      <c r="B16" s="12" t="n">
        <f aca="false">B15*B7</f>
        <v>162</v>
      </c>
      <c r="C16" s="6" t="s">
        <v>4</v>
      </c>
      <c r="D16" s="7" t="s">
        <v>29</v>
      </c>
      <c r="E16" s="7"/>
      <c r="F16" s="7"/>
    </row>
    <row r="17" customFormat="false" ht="15" hidden="false" customHeight="true" outlineLevel="0" collapsed="false">
      <c r="A17" s="11" t="s">
        <v>30</v>
      </c>
      <c r="B17" s="12" t="n">
        <f aca="false">B16*B8</f>
        <v>324</v>
      </c>
      <c r="C17" s="6" t="s">
        <v>4</v>
      </c>
      <c r="D17" s="7" t="s">
        <v>31</v>
      </c>
      <c r="E17" s="7"/>
      <c r="F17" s="7"/>
    </row>
    <row r="18" customFormat="false" ht="15" hidden="false" customHeight="true" outlineLevel="0" collapsed="false">
      <c r="A18" s="11" t="s">
        <v>32</v>
      </c>
      <c r="B18" s="12" t="n">
        <f aca="false">B17*B9</f>
        <v>9720</v>
      </c>
      <c r="C18" s="6" t="s">
        <v>4</v>
      </c>
      <c r="D18" s="7" t="s">
        <v>33</v>
      </c>
      <c r="E18" s="7"/>
      <c r="F18" s="7"/>
    </row>
    <row r="19" customFormat="false" ht="15" hidden="false" customHeight="true" outlineLevel="0" collapsed="false">
      <c r="A19" s="11" t="s">
        <v>34</v>
      </c>
      <c r="B19" s="12" t="n">
        <f aca="false">B18/60</f>
        <v>162</v>
      </c>
      <c r="C19" s="6" t="s">
        <v>35</v>
      </c>
      <c r="D19" s="7" t="s">
        <v>36</v>
      </c>
      <c r="E19" s="7"/>
      <c r="F19" s="7"/>
    </row>
    <row r="21" customFormat="false" ht="24" hidden="false" customHeight="true" outlineLevel="0" collapsed="false">
      <c r="A21" s="13" t="s">
        <v>37</v>
      </c>
      <c r="B21" s="13"/>
      <c r="C21" s="13"/>
      <c r="D21" s="13"/>
      <c r="E21" s="13"/>
      <c r="F21" s="13"/>
    </row>
    <row r="22" customFormat="false" ht="26.85" hidden="false" customHeight="true" outlineLevel="0" collapsed="false">
      <c r="A22" s="14" t="s">
        <v>38</v>
      </c>
      <c r="B22" s="12" t="n">
        <f aca="false">B18/B12</f>
        <v>121.5</v>
      </c>
      <c r="C22" s="6" t="s">
        <v>39</v>
      </c>
      <c r="D22" s="7" t="s">
        <v>40</v>
      </c>
      <c r="E22" s="7"/>
      <c r="F22" s="7"/>
    </row>
    <row r="23" customFormat="false" ht="26.85" hidden="false" customHeight="true" outlineLevel="0" collapsed="false">
      <c r="A23" s="14" t="s">
        <v>41</v>
      </c>
      <c r="B23" s="12" t="n">
        <f aca="false">B22*B11</f>
        <v>42.525</v>
      </c>
      <c r="C23" s="6" t="s">
        <v>39</v>
      </c>
      <c r="D23" s="7" t="s">
        <v>42</v>
      </c>
      <c r="E23" s="7"/>
      <c r="F23" s="7"/>
    </row>
    <row r="24" customFormat="false" ht="15" hidden="false" customHeight="true" outlineLevel="0" collapsed="false">
      <c r="A24" s="14" t="s">
        <v>43</v>
      </c>
      <c r="B24" s="15" t="n">
        <f aca="false">B23*B10</f>
        <v>744187.5</v>
      </c>
      <c r="C24" s="6" t="s">
        <v>18</v>
      </c>
      <c r="D24" s="7" t="s">
        <v>44</v>
      </c>
      <c r="E24" s="7"/>
      <c r="F24" s="7"/>
    </row>
    <row r="25" customFormat="false" ht="15" hidden="false" customHeight="true" outlineLevel="0" collapsed="false">
      <c r="A25" s="14" t="s">
        <v>45</v>
      </c>
      <c r="B25" s="15" t="n">
        <f aca="false">B24*12</f>
        <v>8930250</v>
      </c>
      <c r="C25" s="6" t="s">
        <v>18</v>
      </c>
      <c r="D25" s="7" t="s">
        <v>46</v>
      </c>
      <c r="E25" s="7"/>
      <c r="F25" s="7"/>
    </row>
    <row r="28" customFormat="false" ht="24" hidden="false" customHeight="true" outlineLevel="0" collapsed="false">
      <c r="A28" s="16" t="s">
        <v>47</v>
      </c>
      <c r="B28" s="16"/>
      <c r="C28" s="16"/>
      <c r="D28" s="16"/>
      <c r="E28" s="16"/>
      <c r="F28" s="16"/>
    </row>
    <row r="29" customFormat="false" ht="26.85" hidden="false" customHeight="true" outlineLevel="0" collapsed="false">
      <c r="A29" s="17" t="s">
        <v>48</v>
      </c>
      <c r="B29" s="18" t="n">
        <f aca="false">B5*B7/1440</f>
        <v>0.2375</v>
      </c>
      <c r="C29" s="6" t="s">
        <v>49</v>
      </c>
      <c r="D29" s="7" t="s">
        <v>50</v>
      </c>
      <c r="E29" s="7"/>
      <c r="F29" s="7"/>
    </row>
    <row r="30" customFormat="false" ht="26.85" hidden="false" customHeight="true" outlineLevel="0" collapsed="false">
      <c r="A30" s="17" t="s">
        <v>51</v>
      </c>
      <c r="B30" s="18" t="n">
        <f aca="false">B6*B7/1440</f>
        <v>0.125</v>
      </c>
      <c r="C30" s="6" t="s">
        <v>49</v>
      </c>
      <c r="D30" s="7" t="s">
        <v>52</v>
      </c>
      <c r="E30" s="7"/>
      <c r="F30" s="7"/>
    </row>
    <row r="31" customFormat="false" ht="15" hidden="false" customHeight="true" outlineLevel="0" collapsed="false">
      <c r="A31" s="17" t="s">
        <v>53</v>
      </c>
      <c r="B31" s="18" t="n">
        <f aca="false">B29-B30</f>
        <v>0.1125</v>
      </c>
      <c r="C31" s="6" t="s">
        <v>54</v>
      </c>
      <c r="D31" s="7" t="s">
        <v>55</v>
      </c>
      <c r="E31" s="7"/>
      <c r="F31" s="7"/>
    </row>
    <row r="33" customFormat="false" ht="24" hidden="false" customHeight="true" outlineLevel="0" collapsed="false">
      <c r="A33" s="19" t="s">
        <v>56</v>
      </c>
      <c r="B33" s="19"/>
      <c r="C33" s="19"/>
      <c r="D33" s="19"/>
      <c r="E33" s="19"/>
      <c r="F33" s="19"/>
    </row>
    <row r="34" customFormat="false" ht="30" hidden="false" customHeight="true" outlineLevel="0" collapsed="false">
      <c r="A34" s="20" t="str">
        <f aca="false">CONCATENATE("₹", TEXT(B24,"#,##0"), " saved per month")</f>
        <v>₹744,188 saved per month</v>
      </c>
      <c r="B34" s="20"/>
      <c r="C34" s="21" t="str">
        <f aca="false">CONCATENATE(TEXT(B23,"0.0"), " extra jumbos/month")</f>
        <v>42.5 extra jumbos/month</v>
      </c>
      <c r="D34" s="21"/>
      <c r="E34" s="22" t="str">
        <f aca="false">CONCATENATE("+", TEXT(B31*100,"0.0"), " pp OEE")</f>
        <v>+11.3 pp OEE</v>
      </c>
      <c r="F34" s="22"/>
    </row>
    <row r="36" customFormat="false" ht="21.75" hidden="false" customHeight="true" outlineLevel="0" collapsed="false">
      <c r="A36" s="23" t="s">
        <v>57</v>
      </c>
      <c r="B36" s="23"/>
      <c r="C36" s="23"/>
      <c r="D36" s="23"/>
      <c r="E36" s="23"/>
      <c r="F36" s="23"/>
    </row>
    <row r="37" customFormat="false" ht="15" hidden="false" customHeight="true" outlineLevel="0" collapsed="false">
      <c r="A37" s="24" t="s">
        <v>58</v>
      </c>
      <c r="B37" s="24"/>
      <c r="C37" s="24"/>
      <c r="D37" s="24"/>
      <c r="E37" s="24"/>
      <c r="F37" s="24"/>
    </row>
    <row r="38" customFormat="false" ht="15" hidden="false" customHeight="true" outlineLevel="0" collapsed="false">
      <c r="A38" s="24" t="s">
        <v>59</v>
      </c>
      <c r="B38" s="24"/>
      <c r="C38" s="24"/>
      <c r="D38" s="24"/>
      <c r="E38" s="24"/>
      <c r="F38" s="24"/>
    </row>
    <row r="39" customFormat="false" ht="15" hidden="false" customHeight="true" outlineLevel="0" collapsed="false">
      <c r="A39" s="24" t="s">
        <v>60</v>
      </c>
      <c r="B39" s="24"/>
      <c r="C39" s="24"/>
      <c r="D39" s="24"/>
      <c r="E39" s="24"/>
      <c r="F39" s="24"/>
    </row>
    <row r="40" customFormat="false" ht="15" hidden="false" customHeight="true" outlineLevel="0" collapsed="false">
      <c r="A40" s="24" t="s">
        <v>61</v>
      </c>
      <c r="B40" s="24"/>
      <c r="C40" s="24"/>
      <c r="D40" s="24"/>
      <c r="E40" s="24"/>
      <c r="F40" s="24"/>
    </row>
    <row r="41" customFormat="false" ht="15" hidden="false" customHeight="true" outlineLevel="0" collapsed="false">
      <c r="A41" s="24" t="s">
        <v>62</v>
      </c>
      <c r="B41" s="24"/>
      <c r="C41" s="24"/>
      <c r="D41" s="24"/>
      <c r="E41" s="24"/>
      <c r="F41" s="24"/>
    </row>
    <row r="42" customFormat="false" ht="15" hidden="false" customHeight="true" outlineLevel="0" collapsed="false">
      <c r="A42" s="24" t="s">
        <v>63</v>
      </c>
      <c r="B42" s="24"/>
      <c r="C42" s="24"/>
      <c r="D42" s="24"/>
      <c r="E42" s="24"/>
      <c r="F42" s="24"/>
    </row>
    <row r="43" customFormat="false" ht="15" hidden="false" customHeight="true" outlineLevel="0" collapsed="false">
      <c r="A43" s="24" t="s">
        <v>64</v>
      </c>
      <c r="B43" s="24"/>
      <c r="C43" s="24"/>
      <c r="D43" s="24"/>
      <c r="E43" s="24"/>
      <c r="F43" s="24"/>
    </row>
    <row r="44" customFormat="false" ht="15" hidden="false" customHeight="true" outlineLevel="0" collapsed="false">
      <c r="A44" s="24" t="s">
        <v>65</v>
      </c>
      <c r="B44" s="24"/>
      <c r="C44" s="24"/>
      <c r="D44" s="24"/>
      <c r="E44" s="24"/>
      <c r="F44" s="24"/>
    </row>
  </sheetData>
  <mergeCells count="39">
    <mergeCell ref="A1:F1"/>
    <mergeCell ref="A2:F2"/>
    <mergeCell ref="A4:F4"/>
    <mergeCell ref="D5:F5"/>
    <mergeCell ref="D6:F6"/>
    <mergeCell ref="D7:F7"/>
    <mergeCell ref="D8:F8"/>
    <mergeCell ref="D9:F9"/>
    <mergeCell ref="D10:F10"/>
    <mergeCell ref="D11:F11"/>
    <mergeCell ref="D12:F12"/>
    <mergeCell ref="A14:F14"/>
    <mergeCell ref="D15:F15"/>
    <mergeCell ref="D16:F16"/>
    <mergeCell ref="D17:F17"/>
    <mergeCell ref="D18:F18"/>
    <mergeCell ref="D19:F19"/>
    <mergeCell ref="A21:F21"/>
    <mergeCell ref="D22:F22"/>
    <mergeCell ref="D23:F23"/>
    <mergeCell ref="D24:F24"/>
    <mergeCell ref="D25:F25"/>
    <mergeCell ref="A28:F28"/>
    <mergeCell ref="D29:F29"/>
    <mergeCell ref="D30:F30"/>
    <mergeCell ref="D31:F31"/>
    <mergeCell ref="A33:F33"/>
    <mergeCell ref="A34:B34"/>
    <mergeCell ref="C34:D34"/>
    <mergeCell ref="E34:F34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  <col collapsed="false" customWidth="true" hidden="false" outlineLevel="0" max="5" min="5" style="0" width="35"/>
  </cols>
  <sheetData>
    <row r="1" customFormat="false" ht="30" hidden="false" customHeight="true" outlineLevel="0" collapsed="false">
      <c r="A1" s="25" t="s">
        <v>66</v>
      </c>
      <c r="B1" s="25"/>
      <c r="C1" s="25"/>
      <c r="D1" s="25"/>
      <c r="E1" s="25"/>
    </row>
    <row r="2" customFormat="false" ht="15" hidden="false" customHeight="true" outlineLevel="0" collapsed="false">
      <c r="A2" s="2" t="s">
        <v>67</v>
      </c>
      <c r="B2" s="2"/>
      <c r="C2" s="2"/>
      <c r="D2" s="2"/>
      <c r="E2" s="2"/>
    </row>
    <row r="4" customFormat="false" ht="37.5" hidden="false" customHeight="true" outlineLevel="0" collapsed="false">
      <c r="A4" s="26" t="s">
        <v>68</v>
      </c>
      <c r="B4" s="26" t="s">
        <v>69</v>
      </c>
      <c r="C4" s="26" t="s">
        <v>70</v>
      </c>
      <c r="D4" s="26" t="s">
        <v>71</v>
      </c>
      <c r="E4" s="26" t="s">
        <v>72</v>
      </c>
    </row>
    <row r="5" customFormat="false" ht="15" hidden="false" customHeight="false" outlineLevel="0" collapsed="false">
      <c r="A5" s="4" t="s">
        <v>73</v>
      </c>
      <c r="B5" s="27" t="n">
        <v>28.5</v>
      </c>
      <c r="C5" s="27" t="n">
        <v>28.5</v>
      </c>
      <c r="D5" s="27" t="n">
        <v>28.5</v>
      </c>
      <c r="E5" s="28" t="s">
        <v>74</v>
      </c>
    </row>
    <row r="6" customFormat="false" ht="15" hidden="false" customHeight="false" outlineLevel="0" collapsed="false">
      <c r="A6" s="4" t="s">
        <v>75</v>
      </c>
      <c r="B6" s="27" t="n">
        <v>15</v>
      </c>
      <c r="C6" s="27" t="n">
        <v>15</v>
      </c>
      <c r="D6" s="27" t="n">
        <v>15</v>
      </c>
      <c r="E6" s="28" t="s">
        <v>76</v>
      </c>
    </row>
    <row r="7" customFormat="false" ht="15" hidden="false" customHeight="false" outlineLevel="0" collapsed="false">
      <c r="A7" s="4" t="s">
        <v>8</v>
      </c>
      <c r="B7" s="27" t="n">
        <v>12</v>
      </c>
      <c r="C7" s="27" t="n">
        <v>12</v>
      </c>
      <c r="D7" s="27" t="n">
        <v>12</v>
      </c>
      <c r="E7" s="28" t="s">
        <v>77</v>
      </c>
    </row>
    <row r="8" customFormat="false" ht="15" hidden="false" customHeight="false" outlineLevel="0" collapsed="false">
      <c r="A8" s="4" t="s">
        <v>11</v>
      </c>
      <c r="B8" s="27" t="n">
        <v>1</v>
      </c>
      <c r="C8" s="27" t="n">
        <v>2</v>
      </c>
      <c r="D8" s="27" t="n">
        <v>4</v>
      </c>
      <c r="E8" s="28" t="s">
        <v>78</v>
      </c>
    </row>
    <row r="9" customFormat="false" ht="15" hidden="false" customHeight="false" outlineLevel="0" collapsed="false">
      <c r="A9" s="4" t="s">
        <v>14</v>
      </c>
      <c r="B9" s="27" t="n">
        <v>30</v>
      </c>
      <c r="C9" s="27" t="n">
        <v>30</v>
      </c>
      <c r="D9" s="27" t="n">
        <v>30</v>
      </c>
      <c r="E9" s="28"/>
    </row>
    <row r="10" customFormat="false" ht="15" hidden="false" customHeight="false" outlineLevel="0" collapsed="false">
      <c r="A10" s="4" t="s">
        <v>79</v>
      </c>
      <c r="B10" s="29" t="n">
        <v>17500</v>
      </c>
      <c r="C10" s="29" t="n">
        <v>17500</v>
      </c>
      <c r="D10" s="29" t="n">
        <v>17500</v>
      </c>
      <c r="E10" s="28"/>
    </row>
    <row r="11" customFormat="false" ht="15" hidden="false" customHeight="false" outlineLevel="0" collapsed="false">
      <c r="A11" s="4" t="s">
        <v>20</v>
      </c>
      <c r="B11" s="30" t="n">
        <v>0.35</v>
      </c>
      <c r="C11" s="30" t="n">
        <v>0.35</v>
      </c>
      <c r="D11" s="30" t="n">
        <v>0.35</v>
      </c>
      <c r="E11" s="28"/>
    </row>
    <row r="12" customFormat="false" ht="15" hidden="false" customHeight="false" outlineLevel="0" collapsed="false">
      <c r="A12" s="4" t="s">
        <v>80</v>
      </c>
      <c r="B12" s="27" t="n">
        <v>80</v>
      </c>
      <c r="C12" s="27" t="n">
        <v>80</v>
      </c>
      <c r="D12" s="27" t="n">
        <v>80</v>
      </c>
      <c r="E12" s="28"/>
    </row>
    <row r="14" customFormat="false" ht="21.75" hidden="false" customHeight="true" outlineLevel="0" collapsed="false">
      <c r="A14" s="10" t="s">
        <v>81</v>
      </c>
      <c r="B14" s="10"/>
      <c r="C14" s="10"/>
      <c r="D14" s="10"/>
      <c r="E14" s="10"/>
    </row>
    <row r="15" customFormat="false" ht="15" hidden="false" customHeight="false" outlineLevel="0" collapsed="false">
      <c r="A15" s="11" t="s">
        <v>82</v>
      </c>
      <c r="B15" s="12" t="n">
        <f aca="false">(B5-B6)*B7*B8</f>
        <v>162</v>
      </c>
      <c r="C15" s="12" t="n">
        <f aca="false">(C5-C6)*C7*C8</f>
        <v>324</v>
      </c>
      <c r="D15" s="12" t="n">
        <f aca="false">(D5-D6)*D7*D8</f>
        <v>648</v>
      </c>
      <c r="E15" s="28" t="s">
        <v>83</v>
      </c>
    </row>
    <row r="16" customFormat="false" ht="15" hidden="false" customHeight="false" outlineLevel="0" collapsed="false">
      <c r="A16" s="11" t="s">
        <v>84</v>
      </c>
      <c r="B16" s="12" t="n">
        <f aca="false">B15*B9</f>
        <v>4860</v>
      </c>
      <c r="C16" s="12" t="n">
        <f aca="false">C15*C9</f>
        <v>9720</v>
      </c>
      <c r="D16" s="12" t="n">
        <f aca="false">D15*D9</f>
        <v>19440</v>
      </c>
      <c r="E16" s="28" t="s">
        <v>85</v>
      </c>
    </row>
    <row r="17" customFormat="false" ht="15" hidden="false" customHeight="false" outlineLevel="0" collapsed="false">
      <c r="A17" s="11" t="s">
        <v>34</v>
      </c>
      <c r="B17" s="12" t="n">
        <f aca="false">B16/60</f>
        <v>81</v>
      </c>
      <c r="C17" s="12" t="n">
        <f aca="false">C16/60</f>
        <v>162</v>
      </c>
      <c r="D17" s="12" t="n">
        <f aca="false">D16/60</f>
        <v>324</v>
      </c>
      <c r="E17" s="28" t="s">
        <v>86</v>
      </c>
    </row>
    <row r="18" customFormat="false" ht="15" hidden="false" customHeight="false" outlineLevel="0" collapsed="false">
      <c r="A18" s="11" t="s">
        <v>87</v>
      </c>
      <c r="B18" s="12" t="n">
        <f aca="false">B16/B12</f>
        <v>60.75</v>
      </c>
      <c r="C18" s="12" t="n">
        <f aca="false">C16/C12</f>
        <v>121.5</v>
      </c>
      <c r="D18" s="12" t="n">
        <f aca="false">D16/D12</f>
        <v>243</v>
      </c>
      <c r="E18" s="28" t="s">
        <v>88</v>
      </c>
    </row>
    <row r="19" customFormat="false" ht="15" hidden="false" customHeight="false" outlineLevel="0" collapsed="false">
      <c r="A19" s="11" t="s">
        <v>89</v>
      </c>
      <c r="B19" s="12" t="n">
        <f aca="false">B18*B11</f>
        <v>21.2625</v>
      </c>
      <c r="C19" s="12" t="n">
        <f aca="false">C18*C11</f>
        <v>42.525</v>
      </c>
      <c r="D19" s="12" t="n">
        <f aca="false">D18*D11</f>
        <v>85.05</v>
      </c>
      <c r="E19" s="28" t="s">
        <v>90</v>
      </c>
    </row>
    <row r="20" customFormat="false" ht="15" hidden="false" customHeight="false" outlineLevel="0" collapsed="false">
      <c r="A20" s="11" t="s">
        <v>91</v>
      </c>
      <c r="B20" s="15" t="n">
        <f aca="false">B19*B10</f>
        <v>372093.75</v>
      </c>
      <c r="C20" s="15" t="n">
        <f aca="false">C19*C10</f>
        <v>744187.5</v>
      </c>
      <c r="D20" s="15" t="n">
        <f aca="false">D19*D10</f>
        <v>1488375</v>
      </c>
      <c r="E20" s="28" t="s">
        <v>92</v>
      </c>
    </row>
    <row r="21" customFormat="false" ht="15" hidden="false" customHeight="false" outlineLevel="0" collapsed="false">
      <c r="A21" s="11" t="s">
        <v>93</v>
      </c>
      <c r="B21" s="15" t="n">
        <f aca="false">B20*12</f>
        <v>4465125</v>
      </c>
      <c r="C21" s="15" t="n">
        <f aca="false">C20*12</f>
        <v>8930250</v>
      </c>
      <c r="D21" s="15" t="n">
        <f aca="false">D20*12</f>
        <v>17860500</v>
      </c>
      <c r="E21" s="28" t="s">
        <v>46</v>
      </c>
    </row>
    <row r="22" customFormat="false" ht="15" hidden="false" customHeight="false" outlineLevel="0" collapsed="false">
      <c r="A22" s="11" t="s">
        <v>53</v>
      </c>
      <c r="B22" s="18" t="n">
        <f aca="false">(B5-B6)*B7/1440</f>
        <v>0.1125</v>
      </c>
      <c r="C22" s="18" t="n">
        <f aca="false">(C5-C6)*C7/1440</f>
        <v>0.1125</v>
      </c>
      <c r="D22" s="18" t="n">
        <f aca="false">(D5-D6)*D7/1440</f>
        <v>0.1125</v>
      </c>
      <c r="E22" s="28" t="s">
        <v>94</v>
      </c>
    </row>
  </sheetData>
  <mergeCells count="3">
    <mergeCell ref="A1:E1"/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0" hidden="false" customHeight="true" outlineLevel="0" collapsed="false">
      <c r="A1" s="25" t="s">
        <v>95</v>
      </c>
      <c r="B1" s="25"/>
      <c r="C1" s="25"/>
      <c r="D1" s="25"/>
    </row>
    <row r="2" customFormat="false" ht="15" hidden="false" customHeight="true" outlineLevel="0" collapsed="false">
      <c r="A2" s="2" t="s">
        <v>96</v>
      </c>
      <c r="B2" s="2"/>
      <c r="C2" s="2"/>
      <c r="D2" s="2"/>
    </row>
    <row r="4" customFormat="false" ht="24" hidden="false" customHeight="true" outlineLevel="0" collapsed="false">
      <c r="A4" s="26" t="s">
        <v>97</v>
      </c>
      <c r="B4" s="26" t="s">
        <v>98</v>
      </c>
      <c r="C4" s="26" t="s">
        <v>99</v>
      </c>
      <c r="D4" s="26" t="s">
        <v>100</v>
      </c>
    </row>
    <row r="5" customFormat="false" ht="15" hidden="false" customHeight="false" outlineLevel="0" collapsed="false">
      <c r="A5" s="6" t="n">
        <v>1</v>
      </c>
      <c r="B5" s="31" t="s">
        <v>101</v>
      </c>
      <c r="C5" s="32" t="s">
        <v>102</v>
      </c>
      <c r="D5" s="33" t="s">
        <v>103</v>
      </c>
    </row>
    <row r="6" customFormat="false" ht="15" hidden="false" customHeight="false" outlineLevel="0" collapsed="false">
      <c r="A6" s="6" t="n">
        <v>2</v>
      </c>
      <c r="B6" s="31" t="s">
        <v>104</v>
      </c>
      <c r="C6" s="26" t="s">
        <v>105</v>
      </c>
      <c r="D6" s="33" t="s">
        <v>106</v>
      </c>
    </row>
    <row r="7" customFormat="false" ht="15" hidden="false" customHeight="false" outlineLevel="0" collapsed="false">
      <c r="A7" s="6" t="n">
        <v>3</v>
      </c>
      <c r="B7" s="31" t="s">
        <v>107</v>
      </c>
      <c r="C7" s="26" t="s">
        <v>105</v>
      </c>
      <c r="D7" s="33" t="s">
        <v>108</v>
      </c>
    </row>
    <row r="8" customFormat="false" ht="15" hidden="false" customHeight="false" outlineLevel="0" collapsed="false">
      <c r="A8" s="6" t="n">
        <v>4</v>
      </c>
      <c r="B8" s="31" t="s">
        <v>109</v>
      </c>
      <c r="C8" s="26" t="s">
        <v>105</v>
      </c>
      <c r="D8" s="33" t="s">
        <v>110</v>
      </c>
    </row>
    <row r="9" customFormat="false" ht="15" hidden="false" customHeight="false" outlineLevel="0" collapsed="false">
      <c r="A9" s="6" t="n">
        <v>5</v>
      </c>
      <c r="B9" s="31" t="s">
        <v>111</v>
      </c>
      <c r="C9" s="34" t="s">
        <v>112</v>
      </c>
      <c r="D9" s="33" t="s">
        <v>113</v>
      </c>
    </row>
    <row r="10" customFormat="false" ht="15" hidden="false" customHeight="false" outlineLevel="0" collapsed="false">
      <c r="A10" s="6" t="n">
        <v>6</v>
      </c>
      <c r="B10" s="31" t="s">
        <v>114</v>
      </c>
      <c r="C10" s="26" t="s">
        <v>105</v>
      </c>
      <c r="D10" s="33" t="s">
        <v>108</v>
      </c>
    </row>
    <row r="11" customFormat="false" ht="15" hidden="false" customHeight="false" outlineLevel="0" collapsed="false">
      <c r="A11" s="6" t="n">
        <v>7</v>
      </c>
      <c r="B11" s="31" t="s">
        <v>115</v>
      </c>
      <c r="C11" s="35" t="s">
        <v>116</v>
      </c>
      <c r="D11" s="33" t="s">
        <v>117</v>
      </c>
    </row>
    <row r="12" customFormat="false" ht="15" hidden="false" customHeight="false" outlineLevel="0" collapsed="false">
      <c r="A12" s="6" t="n">
        <v>8</v>
      </c>
      <c r="B12" s="31" t="s">
        <v>118</v>
      </c>
      <c r="C12" s="26" t="s">
        <v>105</v>
      </c>
      <c r="D12" s="33" t="s">
        <v>110</v>
      </c>
    </row>
    <row r="13" customFormat="false" ht="15" hidden="false" customHeight="false" outlineLevel="0" collapsed="false">
      <c r="A13" s="6" t="n">
        <v>9</v>
      </c>
      <c r="B13" s="31" t="s">
        <v>119</v>
      </c>
      <c r="C13" s="34" t="s">
        <v>112</v>
      </c>
      <c r="D13" s="33" t="s">
        <v>120</v>
      </c>
    </row>
    <row r="14" customFormat="false" ht="15" hidden="false" customHeight="false" outlineLevel="0" collapsed="false">
      <c r="A14" s="6" t="n">
        <v>10</v>
      </c>
      <c r="B14" s="31" t="s">
        <v>121</v>
      </c>
      <c r="C14" s="34" t="s">
        <v>112</v>
      </c>
      <c r="D14" s="33" t="s">
        <v>122</v>
      </c>
    </row>
    <row r="15" customFormat="false" ht="15" hidden="false" customHeight="false" outlineLevel="0" collapsed="false">
      <c r="A15" s="6" t="n">
        <v>11</v>
      </c>
      <c r="B15" s="31" t="s">
        <v>123</v>
      </c>
      <c r="C15" s="32" t="s">
        <v>102</v>
      </c>
      <c r="D15" s="33" t="s">
        <v>108</v>
      </c>
    </row>
    <row r="16" customFormat="false" ht="15" hidden="false" customHeight="false" outlineLevel="0" collapsed="false">
      <c r="A16" s="6" t="n">
        <v>12</v>
      </c>
      <c r="B16" s="31" t="s">
        <v>124</v>
      </c>
      <c r="C16" s="32" t="s">
        <v>102</v>
      </c>
      <c r="D16" s="33" t="s">
        <v>125</v>
      </c>
    </row>
    <row r="17" customFormat="false" ht="15" hidden="false" customHeight="false" outlineLevel="0" collapsed="false">
      <c r="A17" s="6" t="n">
        <v>13</v>
      </c>
      <c r="B17" s="31" t="s">
        <v>126</v>
      </c>
      <c r="C17" s="34" t="s">
        <v>112</v>
      </c>
      <c r="D17" s="33" t="s">
        <v>127</v>
      </c>
    </row>
    <row r="18" customFormat="false" ht="15" hidden="false" customHeight="false" outlineLevel="0" collapsed="false">
      <c r="A18" s="6" t="n">
        <v>14</v>
      </c>
      <c r="B18" s="31" t="s">
        <v>128</v>
      </c>
      <c r="C18" s="36" t="s">
        <v>129</v>
      </c>
      <c r="D18" s="33" t="s">
        <v>130</v>
      </c>
    </row>
    <row r="19" customFormat="false" ht="15" hidden="false" customHeight="false" outlineLevel="0" collapsed="false">
      <c r="A19" s="37" t="s">
        <v>131</v>
      </c>
      <c r="B19" s="37" t="s">
        <v>132</v>
      </c>
      <c r="C19" s="38" t="s">
        <v>133</v>
      </c>
      <c r="D19" s="38" t="s">
        <v>134</v>
      </c>
    </row>
    <row r="21" customFormat="false" ht="15" hidden="false" customHeight="true" outlineLevel="0" collapsed="false">
      <c r="A21" s="39" t="s">
        <v>135</v>
      </c>
      <c r="B21" s="39"/>
      <c r="C21" s="39"/>
      <c r="D21" s="39"/>
    </row>
  </sheetData>
  <mergeCells count="3">
    <mergeCell ref="A1:D1"/>
    <mergeCell ref="A2:D2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2026-04-27T13:06:42Z</dcterms:created>
  <dc:creator>openpyxl</dc:creator>
  <dc:description/>
  <dc:language>en-US</dc:language>
  <cp:lastModifiedBy/>
  <dcterms:modified xsi:type="dcterms:W3CDTF">2026-04-27T13:06:42Z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